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qnpz53_durham_ac_uk/Documents/"/>
    </mc:Choice>
  </mc:AlternateContent>
  <xr:revisionPtr revIDLastSave="706" documentId="11_0B1D56BE9CDCCE836B02CE7A5FB0D4A9BBFD1C62" xr6:coauthVersionLast="47" xr6:coauthVersionMax="47" xr10:uidLastSave="{5CB5A20E-0CFF-4BF5-88FC-B505F97D1852}"/>
  <bookViews>
    <workbookView minimized="1" xWindow="384" yWindow="132" windowWidth="11004" windowHeight="128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J145" i="1"/>
  <c r="I145" i="1"/>
  <c r="H145" i="1"/>
  <c r="J134" i="1"/>
  <c r="I134" i="1"/>
  <c r="H134" i="1"/>
  <c r="J123" i="1"/>
  <c r="I123" i="1"/>
  <c r="H123" i="1"/>
  <c r="J112" i="1"/>
  <c r="I112" i="1"/>
  <c r="H112" i="1"/>
  <c r="H101" i="1"/>
  <c r="I101" i="1"/>
  <c r="J101" i="1"/>
  <c r="P34" i="1"/>
  <c r="O34" i="1"/>
  <c r="N34" i="1"/>
  <c r="H54" i="1"/>
  <c r="C19" i="1"/>
  <c r="C18" i="1"/>
  <c r="C17" i="1"/>
  <c r="C16" i="1"/>
  <c r="C15" i="1"/>
  <c r="C14" i="1"/>
  <c r="B19" i="1"/>
  <c r="B18" i="1"/>
  <c r="B17" i="1"/>
  <c r="B16" i="1"/>
  <c r="B15" i="1"/>
  <c r="B14" i="1"/>
  <c r="C11" i="1"/>
  <c r="D11" i="1"/>
  <c r="E11" i="1"/>
  <c r="F11" i="1"/>
  <c r="G11" i="1"/>
  <c r="H11" i="1"/>
  <c r="I11" i="1"/>
  <c r="J11" i="1"/>
  <c r="K11" i="1"/>
  <c r="L11" i="1"/>
  <c r="M11" i="1"/>
  <c r="B11" i="1"/>
  <c r="G144" i="1"/>
  <c r="G143" i="1"/>
  <c r="G142" i="1"/>
  <c r="G141" i="1"/>
  <c r="G140" i="1"/>
  <c r="G139" i="1"/>
  <c r="G133" i="1"/>
  <c r="G132" i="1"/>
  <c r="G131" i="1"/>
  <c r="G130" i="1"/>
  <c r="G129" i="1"/>
  <c r="G128" i="1"/>
  <c r="G122" i="1"/>
  <c r="G121" i="1"/>
  <c r="G120" i="1"/>
  <c r="G119" i="1"/>
  <c r="G118" i="1"/>
  <c r="G117" i="1"/>
  <c r="G107" i="1"/>
  <c r="G108" i="1"/>
  <c r="G109" i="1"/>
  <c r="G110" i="1"/>
  <c r="G111" i="1"/>
  <c r="G106" i="1"/>
  <c r="G98" i="1"/>
  <c r="G97" i="1"/>
  <c r="G96" i="1"/>
  <c r="G95" i="1"/>
  <c r="G86" i="1"/>
  <c r="G85" i="1"/>
  <c r="G84" i="1"/>
  <c r="G83" i="1"/>
  <c r="G82" i="1"/>
  <c r="G75" i="1"/>
  <c r="G74" i="1"/>
  <c r="G73" i="1"/>
  <c r="G72" i="1"/>
  <c r="G71" i="1"/>
  <c r="G64" i="1"/>
  <c r="G63" i="1"/>
  <c r="G62" i="1"/>
  <c r="G61" i="1"/>
  <c r="G60" i="1"/>
  <c r="G53" i="1"/>
  <c r="G52" i="1"/>
  <c r="G51" i="1"/>
  <c r="G49" i="1"/>
  <c r="G39" i="1"/>
  <c r="G40" i="1"/>
  <c r="G41" i="1"/>
  <c r="G42" i="1"/>
  <c r="G38" i="1"/>
  <c r="G28" i="1"/>
  <c r="G29" i="1"/>
  <c r="G30" i="1"/>
  <c r="G31" i="1"/>
  <c r="G27" i="1"/>
  <c r="H87" i="1"/>
  <c r="I87" i="1"/>
  <c r="J87" i="1"/>
  <c r="H76" i="1"/>
  <c r="I76" i="1"/>
  <c r="J76" i="1"/>
  <c r="H65" i="1"/>
  <c r="I65" i="1"/>
  <c r="J65" i="1"/>
  <c r="H43" i="1"/>
  <c r="I43" i="1"/>
  <c r="J43" i="1"/>
  <c r="I54" i="1"/>
  <c r="J54" i="1"/>
  <c r="H32" i="1"/>
  <c r="I32" i="1"/>
  <c r="J32" i="1"/>
  <c r="G100" i="1"/>
  <c r="G101" i="1" l="1"/>
  <c r="G123" i="1"/>
  <c r="G134" i="1"/>
  <c r="G32" i="1"/>
  <c r="G87" i="1"/>
  <c r="G112" i="1"/>
  <c r="G145" i="1"/>
  <c r="C20" i="1"/>
  <c r="B20" i="1"/>
  <c r="G54" i="1"/>
  <c r="G65" i="1"/>
  <c r="G43" i="1"/>
  <c r="D15" i="1"/>
  <c r="D14" i="1"/>
  <c r="D18" i="1"/>
  <c r="D19" i="1"/>
  <c r="D16" i="1"/>
  <c r="D17" i="1" l="1"/>
  <c r="D20" i="1" s="1"/>
</calcChain>
</file>

<file path=xl/sharedStrings.xml><?xml version="1.0" encoding="utf-8"?>
<sst xmlns="http://schemas.openxmlformats.org/spreadsheetml/2006/main" count="243" uniqueCount="39">
  <si>
    <t>ANN</t>
  </si>
  <si>
    <t>KNN</t>
  </si>
  <si>
    <t>LR</t>
  </si>
  <si>
    <t>NB</t>
  </si>
  <si>
    <t>RF</t>
  </si>
  <si>
    <t>SVM</t>
  </si>
  <si>
    <t xml:space="preserve">Pre </t>
  </si>
  <si>
    <t>Post</t>
  </si>
  <si>
    <t>Age</t>
  </si>
  <si>
    <t>Sex</t>
  </si>
  <si>
    <t>Domicile</t>
  </si>
  <si>
    <t>Ethnicity</t>
  </si>
  <si>
    <t>Disability status</t>
  </si>
  <si>
    <t>Average</t>
  </si>
  <si>
    <t>Difference between pre vs post</t>
  </si>
  <si>
    <t>Validation Sets Post HT</t>
  </si>
  <si>
    <t>MSE 1</t>
  </si>
  <si>
    <t>MSE 2</t>
  </si>
  <si>
    <t>MSE 3</t>
  </si>
  <si>
    <t>MSE 4</t>
  </si>
  <si>
    <t>MSE 5</t>
  </si>
  <si>
    <t>Avg</t>
  </si>
  <si>
    <t>Test Set MSE</t>
  </si>
  <si>
    <t>MAE</t>
  </si>
  <si>
    <t>R^2</t>
  </si>
  <si>
    <t>Disability Status</t>
  </si>
  <si>
    <t>HYPERPARAMETER Comparison Data</t>
  </si>
  <si>
    <t>DATA Result per MODEL</t>
  </si>
  <si>
    <t>DATA Result Per Characteristics</t>
  </si>
  <si>
    <t>Model</t>
  </si>
  <si>
    <t xml:space="preserve"> Average Evaluation Metrics Result</t>
  </si>
  <si>
    <t>MSE</t>
  </si>
  <si>
    <t>R2</t>
  </si>
  <si>
    <t>Min Char</t>
  </si>
  <si>
    <t xml:space="preserve">Max </t>
  </si>
  <si>
    <t>Further analysis of results MSE</t>
  </si>
  <si>
    <t>Max Char</t>
  </si>
  <si>
    <t>Range</t>
  </si>
  <si>
    <t>Highes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</si>
</sst>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0" borderId="2" xfId="0" applyFill="1" applyBorder="1"/>
    <xf numFmtId="0" fontId="0" fillId="0" borderId="0" xfId="0" applyBorder="1"/>
    <xf numFmtId="0" fontId="0" fillId="0" borderId="0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45"/>
  <sheetViews>
    <sheetView tabSelected="1" topLeftCell="A4" zoomScale="60" workbookViewId="0">
      <selection activeCell="N38" sqref="N38"/>
    </sheetView>
  </sheetViews>
  <sheetFormatPr defaultRowHeight="14.4" x14ac:dyDescent="0.3"/>
  <cols>
    <col min="1" max="1" width="17.33203125" customWidth="1"/>
    <col min="7" max="7" width="10.6640625" customWidth="1"/>
  </cols>
  <sheetData>
    <row r="2" spans="1:13" s="8" customFormat="1" x14ac:dyDescent="0.3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x14ac:dyDescent="0.3">
      <c r="A4" s="2"/>
      <c r="B4" s="3" t="s">
        <v>0</v>
      </c>
      <c r="C4" s="3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3" t="s">
        <v>5</v>
      </c>
      <c r="M4" s="3"/>
    </row>
    <row r="5" spans="1:13" x14ac:dyDescent="0.3">
      <c r="A5" s="2"/>
      <c r="B5" s="2" t="s">
        <v>6</v>
      </c>
      <c r="C5" s="2" t="s">
        <v>7</v>
      </c>
      <c r="D5" s="2" t="s">
        <v>6</v>
      </c>
      <c r="E5" s="2" t="s">
        <v>7</v>
      </c>
      <c r="F5" s="2" t="s">
        <v>6</v>
      </c>
      <c r="G5" s="2" t="s">
        <v>7</v>
      </c>
      <c r="H5" s="2" t="s">
        <v>6</v>
      </c>
      <c r="I5" s="2" t="s">
        <v>7</v>
      </c>
      <c r="J5" s="2" t="s">
        <v>6</v>
      </c>
      <c r="K5" s="2" t="s">
        <v>7</v>
      </c>
      <c r="L5" s="2" t="s">
        <v>6</v>
      </c>
      <c r="M5" s="2" t="s">
        <v>7</v>
      </c>
    </row>
    <row r="6" spans="1:13" x14ac:dyDescent="0.3">
      <c r="A6" s="2" t="s">
        <v>11</v>
      </c>
      <c r="B6" s="2">
        <v>42.93</v>
      </c>
      <c r="C6" s="2">
        <v>31.05</v>
      </c>
      <c r="D6" s="2">
        <v>35.56</v>
      </c>
      <c r="E6" s="2">
        <v>33.83</v>
      </c>
      <c r="F6" s="2">
        <v>45.3</v>
      </c>
      <c r="G6" s="2">
        <v>45.51</v>
      </c>
      <c r="H6" s="2">
        <v>6.33</v>
      </c>
      <c r="I6" s="2">
        <v>5.88</v>
      </c>
      <c r="J6" s="2">
        <v>10.89</v>
      </c>
      <c r="K6" s="2">
        <v>10.91</v>
      </c>
      <c r="L6" s="2">
        <v>34.96</v>
      </c>
      <c r="M6" s="2">
        <v>25.7</v>
      </c>
    </row>
    <row r="7" spans="1:13" x14ac:dyDescent="0.3">
      <c r="A7" s="2" t="s">
        <v>8</v>
      </c>
      <c r="B7" s="2">
        <v>41.61</v>
      </c>
      <c r="C7" s="2">
        <v>28.33</v>
      </c>
      <c r="D7" s="2">
        <v>42.16</v>
      </c>
      <c r="E7" s="2">
        <v>30.84</v>
      </c>
      <c r="F7" s="2">
        <v>43.72</v>
      </c>
      <c r="G7" s="2">
        <v>43.31</v>
      </c>
      <c r="H7" s="2">
        <v>9.6300000000000008</v>
      </c>
      <c r="I7" s="2">
        <v>6.94</v>
      </c>
      <c r="J7" s="2">
        <v>12.86</v>
      </c>
      <c r="K7" s="2">
        <v>12.71</v>
      </c>
      <c r="L7" s="2">
        <v>33.42</v>
      </c>
      <c r="M7" s="2">
        <v>15.39</v>
      </c>
    </row>
    <row r="8" spans="1:13" x14ac:dyDescent="0.3">
      <c r="A8" s="2" t="s">
        <v>9</v>
      </c>
      <c r="B8" s="2">
        <v>48.77</v>
      </c>
      <c r="C8" s="2">
        <v>33</v>
      </c>
      <c r="D8" s="2">
        <v>40.049999999999997</v>
      </c>
      <c r="E8" s="2">
        <v>36.880000000000003</v>
      </c>
      <c r="F8" s="2">
        <v>49.76</v>
      </c>
      <c r="G8" s="2">
        <v>49.85</v>
      </c>
      <c r="H8" s="2">
        <v>8.59</v>
      </c>
      <c r="I8" s="2">
        <v>6.88</v>
      </c>
      <c r="J8" s="2">
        <v>14.38</v>
      </c>
      <c r="K8" s="2">
        <v>14.54</v>
      </c>
      <c r="L8" s="2">
        <v>41.38</v>
      </c>
      <c r="M8" s="2">
        <v>27.09</v>
      </c>
    </row>
    <row r="9" spans="1:13" x14ac:dyDescent="0.3">
      <c r="A9" s="2" t="s">
        <v>10</v>
      </c>
      <c r="B9" s="2">
        <v>39.520000000000003</v>
      </c>
      <c r="C9" s="2">
        <v>30.08</v>
      </c>
      <c r="D9" s="2">
        <v>33.520000000000003</v>
      </c>
      <c r="E9" s="2">
        <v>32.94</v>
      </c>
      <c r="F9" s="2">
        <v>40.71</v>
      </c>
      <c r="G9" s="2">
        <v>40.99</v>
      </c>
      <c r="H9" s="2">
        <v>7.95</v>
      </c>
      <c r="I9" s="2">
        <v>7.36</v>
      </c>
      <c r="J9" s="2">
        <v>12.38</v>
      </c>
      <c r="K9" s="2">
        <v>11.9</v>
      </c>
      <c r="L9" s="2">
        <v>31.61</v>
      </c>
      <c r="M9" s="2">
        <v>24.21</v>
      </c>
    </row>
    <row r="10" spans="1:13" x14ac:dyDescent="0.3">
      <c r="A10" s="2" t="s">
        <v>12</v>
      </c>
      <c r="B10" s="2">
        <v>46.58</v>
      </c>
      <c r="C10" s="2">
        <v>30.48</v>
      </c>
      <c r="D10" s="2">
        <v>39.119999999999997</v>
      </c>
      <c r="E10" s="2">
        <v>33.520000000000003</v>
      </c>
      <c r="F10" s="2">
        <v>47.04</v>
      </c>
      <c r="G10" s="2">
        <v>47.22</v>
      </c>
      <c r="H10" s="2">
        <v>11.15</v>
      </c>
      <c r="I10" s="2">
        <v>8.0500000000000007</v>
      </c>
      <c r="J10" s="2">
        <v>15.44</v>
      </c>
      <c r="K10" s="2">
        <v>15.31</v>
      </c>
      <c r="L10" s="2">
        <v>39.159999999999997</v>
      </c>
      <c r="M10" s="2">
        <v>17.22</v>
      </c>
    </row>
    <row r="11" spans="1:13" x14ac:dyDescent="0.3">
      <c r="A11" s="2" t="s">
        <v>13</v>
      </c>
      <c r="B11" s="2">
        <f>ROUND(AVERAGE(B6:B10),2)</f>
        <v>43.88</v>
      </c>
      <c r="C11" s="2">
        <f t="shared" ref="C11:M11" si="0">ROUND(AVERAGE(C6:C10),2)</f>
        <v>30.59</v>
      </c>
      <c r="D11" s="2">
        <f t="shared" si="0"/>
        <v>38.08</v>
      </c>
      <c r="E11" s="2">
        <f t="shared" si="0"/>
        <v>33.6</v>
      </c>
      <c r="F11" s="2">
        <f t="shared" si="0"/>
        <v>45.31</v>
      </c>
      <c r="G11" s="2">
        <f t="shared" si="0"/>
        <v>45.38</v>
      </c>
      <c r="H11" s="2">
        <f t="shared" si="0"/>
        <v>8.73</v>
      </c>
      <c r="I11" s="2">
        <f t="shared" si="0"/>
        <v>7.02</v>
      </c>
      <c r="J11" s="2">
        <f t="shared" si="0"/>
        <v>13.19</v>
      </c>
      <c r="K11" s="2">
        <f t="shared" si="0"/>
        <v>13.07</v>
      </c>
      <c r="L11" s="2">
        <f t="shared" si="0"/>
        <v>36.11</v>
      </c>
      <c r="M11" s="2">
        <f t="shared" si="0"/>
        <v>21.92</v>
      </c>
    </row>
    <row r="13" spans="1:13" ht="16.8" customHeight="1" x14ac:dyDescent="0.3">
      <c r="A13" s="4"/>
      <c r="B13" s="4" t="s">
        <v>6</v>
      </c>
      <c r="C13" s="4" t="s">
        <v>7</v>
      </c>
      <c r="D13" s="5" t="s">
        <v>14</v>
      </c>
      <c r="E13" s="1"/>
    </row>
    <row r="14" spans="1:13" x14ac:dyDescent="0.3">
      <c r="A14" s="4" t="s">
        <v>0</v>
      </c>
      <c r="B14" s="4">
        <f>ROUND(AVERAGE(B6:B10),2)</f>
        <v>43.88</v>
      </c>
      <c r="C14" s="4">
        <f>ROUND(AVERAGE(C6:C10),2)</f>
        <v>30.59</v>
      </c>
      <c r="D14" s="4">
        <f>B14-C14</f>
        <v>13.290000000000003</v>
      </c>
    </row>
    <row r="15" spans="1:13" x14ac:dyDescent="0.3">
      <c r="A15" s="4" t="s">
        <v>1</v>
      </c>
      <c r="B15" s="4">
        <f>ROUND(AVERAGE(D6:D10),2)</f>
        <v>38.08</v>
      </c>
      <c r="C15" s="4">
        <f>ROUND(AVERAGE(E6:E10),2)</f>
        <v>33.6</v>
      </c>
      <c r="D15" s="4">
        <f t="shared" ref="D15:D19" si="1">B15-C15</f>
        <v>4.4799999999999969</v>
      </c>
    </row>
    <row r="16" spans="1:13" x14ac:dyDescent="0.3">
      <c r="A16" s="4" t="s">
        <v>2</v>
      </c>
      <c r="B16" s="4">
        <f>ROUND(AVERAGE(F6:F10),2)</f>
        <v>45.31</v>
      </c>
      <c r="C16" s="4">
        <f>ROUND(AVERAGE(G6:G10),2)</f>
        <v>45.38</v>
      </c>
      <c r="D16" s="4">
        <f t="shared" si="1"/>
        <v>-7.0000000000000284E-2</v>
      </c>
    </row>
    <row r="17" spans="1:16" x14ac:dyDescent="0.3">
      <c r="A17" s="4" t="s">
        <v>3</v>
      </c>
      <c r="B17" s="4">
        <f>ROUND(AVERAGE(H6:H10),2)</f>
        <v>8.73</v>
      </c>
      <c r="C17" s="4">
        <f>ROUND(AVERAGE(I6:I10),2)</f>
        <v>7.02</v>
      </c>
      <c r="D17" s="4">
        <f t="shared" si="1"/>
        <v>1.7100000000000009</v>
      </c>
    </row>
    <row r="18" spans="1:16" x14ac:dyDescent="0.3">
      <c r="A18" s="4" t="s">
        <v>4</v>
      </c>
      <c r="B18" s="4">
        <f>ROUND(AVERAGE(J6:J10),2)</f>
        <v>13.19</v>
      </c>
      <c r="C18" s="4">
        <f>ROUND(AVERAGE(K6:K10),2)</f>
        <v>13.07</v>
      </c>
      <c r="D18" s="4">
        <f t="shared" si="1"/>
        <v>0.11999999999999922</v>
      </c>
    </row>
    <row r="19" spans="1:16" x14ac:dyDescent="0.3">
      <c r="A19" s="4" t="s">
        <v>5</v>
      </c>
      <c r="B19" s="4">
        <f>ROUND(AVERAGE(L6:L10),2)</f>
        <v>36.11</v>
      </c>
      <c r="C19" s="4">
        <f>ROUND(AVERAGE(M6:M10),2)</f>
        <v>21.92</v>
      </c>
      <c r="D19" s="4">
        <f t="shared" si="1"/>
        <v>14.189999999999998</v>
      </c>
    </row>
    <row r="20" spans="1:16" x14ac:dyDescent="0.3">
      <c r="A20" s="4" t="s">
        <v>13</v>
      </c>
      <c r="B20" s="4">
        <f>ROUND(AVERAGE(B14:B19),2)</f>
        <v>30.88</v>
      </c>
      <c r="C20" s="4">
        <f>ROUND(AVERAGE(C14:C19),2)</f>
        <v>25.26</v>
      </c>
      <c r="D20" s="4">
        <f>ROUND(AVERAGE(D14:D19),2)</f>
        <v>5.62</v>
      </c>
    </row>
    <row r="23" spans="1:16" s="8" customFormat="1" x14ac:dyDescent="0.3">
      <c r="A23" s="7" t="s">
        <v>27</v>
      </c>
      <c r="B23" s="7"/>
      <c r="C23" s="7"/>
      <c r="D23" s="7"/>
      <c r="E23" s="7"/>
      <c r="F23" s="7"/>
      <c r="G23" s="7"/>
      <c r="H23" s="7"/>
      <c r="I23" s="7"/>
      <c r="J23" s="7"/>
    </row>
    <row r="25" spans="1:16" ht="15" customHeight="1" x14ac:dyDescent="0.3">
      <c r="A25" s="4" t="s">
        <v>4</v>
      </c>
      <c r="B25" s="6" t="s">
        <v>15</v>
      </c>
      <c r="C25" s="6"/>
      <c r="D25" s="6"/>
      <c r="E25" s="6"/>
      <c r="F25" s="6"/>
      <c r="G25" s="6"/>
      <c r="H25" s="4"/>
      <c r="I25" s="4"/>
      <c r="J25" s="4"/>
      <c r="M25" t="s">
        <v>29</v>
      </c>
      <c r="N25" t="s">
        <v>30</v>
      </c>
    </row>
    <row r="26" spans="1:16" x14ac:dyDescent="0.3">
      <c r="A26" s="4"/>
      <c r="B26" s="4" t="s">
        <v>16</v>
      </c>
      <c r="C26" s="4" t="s">
        <v>17</v>
      </c>
      <c r="D26" s="4" t="s">
        <v>18</v>
      </c>
      <c r="E26" s="4" t="s">
        <v>19</v>
      </c>
      <c r="F26" s="4" t="s">
        <v>20</v>
      </c>
      <c r="G26" s="4" t="s">
        <v>21</v>
      </c>
      <c r="H26" s="4" t="s">
        <v>22</v>
      </c>
      <c r="I26" s="4" t="s">
        <v>23</v>
      </c>
      <c r="J26" s="4" t="s">
        <v>24</v>
      </c>
      <c r="N26" t="s">
        <v>31</v>
      </c>
      <c r="O26" t="s">
        <v>23</v>
      </c>
      <c r="P26" t="s">
        <v>32</v>
      </c>
    </row>
    <row r="27" spans="1:16" x14ac:dyDescent="0.3">
      <c r="A27" s="4" t="s">
        <v>11</v>
      </c>
      <c r="B27" s="4">
        <v>10.54</v>
      </c>
      <c r="C27" s="4">
        <v>10.54</v>
      </c>
      <c r="D27" s="4">
        <v>11.29</v>
      </c>
      <c r="E27" s="4">
        <v>10.57</v>
      </c>
      <c r="F27" s="4">
        <v>11.59</v>
      </c>
      <c r="G27" s="4">
        <f>ROUND(AVERAGE(B27:F27),2)</f>
        <v>10.91</v>
      </c>
      <c r="H27" s="4">
        <v>10.59</v>
      </c>
      <c r="I27" s="4">
        <v>1.89</v>
      </c>
      <c r="J27" s="4">
        <v>0.86</v>
      </c>
      <c r="M27" t="s">
        <v>0</v>
      </c>
      <c r="N27">
        <v>28.49</v>
      </c>
      <c r="O27">
        <v>3.8</v>
      </c>
      <c r="P27">
        <v>0.64</v>
      </c>
    </row>
    <row r="28" spans="1:16" x14ac:dyDescent="0.3">
      <c r="A28" s="4" t="s">
        <v>8</v>
      </c>
      <c r="B28" s="4">
        <v>12.57</v>
      </c>
      <c r="C28" s="4">
        <v>11.82</v>
      </c>
      <c r="D28" s="4">
        <v>12.48</v>
      </c>
      <c r="E28" s="4">
        <v>13.1</v>
      </c>
      <c r="F28" s="4">
        <v>13.57</v>
      </c>
      <c r="G28" s="4">
        <f t="shared" ref="G28:G31" si="2">ROUND(AVERAGE(B28:F28),2)</f>
        <v>12.71</v>
      </c>
      <c r="H28" s="4">
        <v>11.74</v>
      </c>
      <c r="I28" s="4">
        <v>2.09</v>
      </c>
      <c r="J28" s="4">
        <v>0.87</v>
      </c>
      <c r="M28" t="s">
        <v>1</v>
      </c>
      <c r="N28">
        <v>32.200000000000003</v>
      </c>
      <c r="O28">
        <v>3.84</v>
      </c>
      <c r="P28">
        <v>0.6</v>
      </c>
    </row>
    <row r="29" spans="1:16" x14ac:dyDescent="0.3">
      <c r="A29" s="4" t="s">
        <v>9</v>
      </c>
      <c r="B29" s="4">
        <v>12.66</v>
      </c>
      <c r="C29" s="4">
        <v>16.36</v>
      </c>
      <c r="D29" s="4">
        <v>14.46</v>
      </c>
      <c r="E29" s="4">
        <v>14.91</v>
      </c>
      <c r="F29" s="4">
        <v>14.32</v>
      </c>
      <c r="G29" s="4">
        <f t="shared" si="2"/>
        <v>14.54</v>
      </c>
      <c r="H29" s="4">
        <v>11.83</v>
      </c>
      <c r="I29" s="4">
        <v>1.99</v>
      </c>
      <c r="J29" s="4">
        <v>0.86</v>
      </c>
      <c r="M29" t="s">
        <v>2</v>
      </c>
      <c r="N29">
        <v>43.18</v>
      </c>
      <c r="O29">
        <v>4.6500000000000004</v>
      </c>
      <c r="P29">
        <v>0.46</v>
      </c>
    </row>
    <row r="30" spans="1:16" x14ac:dyDescent="0.3">
      <c r="A30" s="4" t="s">
        <v>10</v>
      </c>
      <c r="B30" s="4">
        <v>11.98</v>
      </c>
      <c r="C30" s="4">
        <v>10.95</v>
      </c>
      <c r="D30" s="4">
        <v>11.66</v>
      </c>
      <c r="E30" s="4">
        <v>11.77</v>
      </c>
      <c r="F30" s="4">
        <v>13.14</v>
      </c>
      <c r="G30" s="4">
        <f t="shared" si="2"/>
        <v>11.9</v>
      </c>
      <c r="H30" s="4">
        <v>10.48</v>
      </c>
      <c r="I30" s="4">
        <v>1.84</v>
      </c>
      <c r="J30" s="4">
        <v>0.85</v>
      </c>
      <c r="M30" t="s">
        <v>3</v>
      </c>
      <c r="N30">
        <v>5721.6</v>
      </c>
      <c r="O30">
        <v>75.2</v>
      </c>
      <c r="P30">
        <v>-70.650000000000006</v>
      </c>
    </row>
    <row r="31" spans="1:16" x14ac:dyDescent="0.3">
      <c r="A31" s="4" t="s">
        <v>25</v>
      </c>
      <c r="B31" s="4">
        <v>14.38</v>
      </c>
      <c r="C31" s="4">
        <v>16.84</v>
      </c>
      <c r="D31" s="4">
        <v>15.86</v>
      </c>
      <c r="E31" s="4">
        <v>15.82</v>
      </c>
      <c r="F31" s="4">
        <v>13.63</v>
      </c>
      <c r="G31" s="4">
        <f t="shared" si="2"/>
        <v>15.31</v>
      </c>
      <c r="H31" s="4">
        <v>13.61</v>
      </c>
      <c r="I31" s="4">
        <v>2.09</v>
      </c>
      <c r="J31" s="4">
        <v>0.84</v>
      </c>
      <c r="M31" t="s">
        <v>4</v>
      </c>
      <c r="N31">
        <v>11.65</v>
      </c>
      <c r="O31">
        <v>1.98</v>
      </c>
      <c r="P31">
        <v>0.86</v>
      </c>
    </row>
    <row r="32" spans="1:16" x14ac:dyDescent="0.3">
      <c r="A32" s="11"/>
      <c r="B32" s="11"/>
      <c r="C32" s="11"/>
      <c r="D32" s="11"/>
      <c r="E32" s="11"/>
      <c r="F32" s="11"/>
      <c r="G32" s="4">
        <f>ROUND(AVERAGE(G27:G31), 2)</f>
        <v>13.07</v>
      </c>
      <c r="H32" s="4">
        <f t="shared" ref="H32:J32" si="3">ROUND(AVERAGE(H27:H31), 2)</f>
        <v>11.65</v>
      </c>
      <c r="I32" s="4">
        <f t="shared" si="3"/>
        <v>1.98</v>
      </c>
      <c r="J32" s="4">
        <f t="shared" si="3"/>
        <v>0.86</v>
      </c>
      <c r="M32" t="s">
        <v>5</v>
      </c>
      <c r="N32">
        <v>20.74</v>
      </c>
      <c r="O32">
        <v>2.62</v>
      </c>
      <c r="P32">
        <v>0.73</v>
      </c>
    </row>
    <row r="33" spans="1:19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9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M34" t="s">
        <v>13</v>
      </c>
      <c r="N34">
        <f>ROUND(AVERAGE(N27:N29,N31:N32),2)</f>
        <v>27.25</v>
      </c>
      <c r="O34">
        <f>ROUND(AVERAGE(O31:O32,O27:O29),2)</f>
        <v>3.38</v>
      </c>
      <c r="P34">
        <f>ROUND(AVERAGE(P31:P32,P27:P29),2)</f>
        <v>0.66</v>
      </c>
    </row>
    <row r="36" spans="1:19" x14ac:dyDescent="0.3">
      <c r="A36" s="4" t="s">
        <v>5</v>
      </c>
      <c r="B36" s="6" t="s">
        <v>15</v>
      </c>
      <c r="C36" s="6"/>
      <c r="D36" s="6"/>
      <c r="E36" s="6"/>
      <c r="F36" s="6"/>
      <c r="G36" s="6"/>
      <c r="H36" s="4"/>
      <c r="I36" s="4"/>
      <c r="J36" s="4"/>
    </row>
    <row r="37" spans="1:19" x14ac:dyDescent="0.3">
      <c r="A37" s="4"/>
      <c r="B37" s="4" t="s">
        <v>16</v>
      </c>
      <c r="C37" s="4" t="s">
        <v>17</v>
      </c>
      <c r="D37" s="4" t="s">
        <v>18</v>
      </c>
      <c r="E37" s="4" t="s">
        <v>19</v>
      </c>
      <c r="F37" s="4" t="s">
        <v>20</v>
      </c>
      <c r="G37" s="4" t="s">
        <v>21</v>
      </c>
      <c r="H37" s="4" t="s">
        <v>22</v>
      </c>
      <c r="I37" s="4" t="s">
        <v>23</v>
      </c>
      <c r="J37" s="4" t="s">
        <v>24</v>
      </c>
      <c r="M37" t="s">
        <v>35</v>
      </c>
    </row>
    <row r="38" spans="1:19" x14ac:dyDescent="0.3">
      <c r="A38" s="4" t="s">
        <v>11</v>
      </c>
      <c r="B38" s="4">
        <v>25.26</v>
      </c>
      <c r="C38" s="4">
        <v>24.45</v>
      </c>
      <c r="D38" s="4">
        <v>26.14</v>
      </c>
      <c r="E38" s="4">
        <v>25.21</v>
      </c>
      <c r="F38" s="4">
        <v>27.44</v>
      </c>
      <c r="G38" s="4">
        <f>ROUND(AVERAGE(B38:F38),2)</f>
        <v>25.7</v>
      </c>
      <c r="H38" s="4">
        <v>25.43</v>
      </c>
      <c r="I38" s="4">
        <v>2.91</v>
      </c>
      <c r="J38" s="4">
        <v>0.67</v>
      </c>
      <c r="N38" t="s">
        <v>38</v>
      </c>
      <c r="O38" t="s">
        <v>33</v>
      </c>
      <c r="P38" t="s">
        <v>34</v>
      </c>
      <c r="Q38" t="s">
        <v>36</v>
      </c>
      <c r="R38" t="s">
        <v>21</v>
      </c>
      <c r="S38" t="s">
        <v>37</v>
      </c>
    </row>
    <row r="39" spans="1:19" x14ac:dyDescent="0.3">
      <c r="A39" s="4" t="s">
        <v>8</v>
      </c>
      <c r="B39" s="4">
        <v>15.13</v>
      </c>
      <c r="C39" s="4">
        <v>15.58</v>
      </c>
      <c r="D39" s="4">
        <v>13.88</v>
      </c>
      <c r="E39" s="4">
        <v>18.239999999999998</v>
      </c>
      <c r="F39" s="4">
        <v>15.12</v>
      </c>
      <c r="G39" s="4">
        <f t="shared" ref="G39:G42" si="4">ROUND(AVERAGE(B39:F39),2)</f>
        <v>15.59</v>
      </c>
      <c r="H39" s="4">
        <v>15.16</v>
      </c>
      <c r="I39" s="4">
        <v>2.2599999999999998</v>
      </c>
      <c r="J39" s="4">
        <v>0.82</v>
      </c>
      <c r="M39" t="s">
        <v>2</v>
      </c>
    </row>
    <row r="40" spans="1:19" x14ac:dyDescent="0.3">
      <c r="A40" s="4" t="s">
        <v>9</v>
      </c>
      <c r="B40" s="4">
        <v>27.41</v>
      </c>
      <c r="C40" s="4">
        <v>28.26</v>
      </c>
      <c r="D40" s="4">
        <v>25.58</v>
      </c>
      <c r="E40" s="4">
        <v>26.13</v>
      </c>
      <c r="F40" s="4">
        <v>28.07</v>
      </c>
      <c r="G40" s="4">
        <f t="shared" si="4"/>
        <v>27.09</v>
      </c>
      <c r="H40" s="4">
        <v>24.38</v>
      </c>
      <c r="I40" s="4">
        <v>2.99</v>
      </c>
      <c r="J40" s="4">
        <v>0.7</v>
      </c>
      <c r="M40" t="s">
        <v>3</v>
      </c>
    </row>
    <row r="41" spans="1:19" x14ac:dyDescent="0.3">
      <c r="A41" s="4" t="s">
        <v>10</v>
      </c>
      <c r="B41" s="4">
        <v>23.24</v>
      </c>
      <c r="C41" s="4">
        <v>24.17</v>
      </c>
      <c r="D41" s="4">
        <v>23.77</v>
      </c>
      <c r="E41" s="4">
        <v>23.93</v>
      </c>
      <c r="F41" s="4">
        <v>26.96</v>
      </c>
      <c r="G41" s="4">
        <f t="shared" si="4"/>
        <v>24.41</v>
      </c>
      <c r="H41" s="4">
        <v>23.62</v>
      </c>
      <c r="I41" s="4">
        <v>2.9</v>
      </c>
      <c r="J41" s="4">
        <v>0.66</v>
      </c>
      <c r="M41" t="s">
        <v>1</v>
      </c>
    </row>
    <row r="42" spans="1:19" x14ac:dyDescent="0.3">
      <c r="A42" s="4" t="s">
        <v>25</v>
      </c>
      <c r="B42" s="4">
        <v>16.309999999999999</v>
      </c>
      <c r="C42" s="4">
        <v>16.87</v>
      </c>
      <c r="D42" s="4">
        <v>19.489999999999998</v>
      </c>
      <c r="E42" s="4">
        <v>15.13</v>
      </c>
      <c r="F42" s="4">
        <v>18.3</v>
      </c>
      <c r="G42" s="4">
        <f t="shared" si="4"/>
        <v>17.22</v>
      </c>
      <c r="H42" s="4">
        <v>15.1</v>
      </c>
      <c r="I42" s="4">
        <v>2.06</v>
      </c>
      <c r="J42" s="4">
        <v>0.82</v>
      </c>
      <c r="M42" t="s">
        <v>4</v>
      </c>
      <c r="N42">
        <v>10.48</v>
      </c>
    </row>
    <row r="43" spans="1:19" x14ac:dyDescent="0.3">
      <c r="A43" s="11"/>
      <c r="B43" s="11"/>
      <c r="C43" s="11"/>
      <c r="D43" s="11"/>
      <c r="E43" s="11"/>
      <c r="F43" s="11"/>
      <c r="G43" s="4">
        <f>ROUND(AVERAGE(G38:G42), 2)</f>
        <v>22</v>
      </c>
      <c r="H43" s="4">
        <f t="shared" ref="H43:J43" si="5">ROUND(AVERAGE(H38:H42), 2)</f>
        <v>20.74</v>
      </c>
      <c r="I43" s="4">
        <f t="shared" si="5"/>
        <v>2.62</v>
      </c>
      <c r="J43" s="4">
        <f t="shared" si="5"/>
        <v>0.73</v>
      </c>
      <c r="M43" t="s">
        <v>0</v>
      </c>
    </row>
    <row r="44" spans="1:19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M44" t="s">
        <v>5</v>
      </c>
    </row>
    <row r="47" spans="1:19" x14ac:dyDescent="0.3">
      <c r="A47" s="4" t="s">
        <v>0</v>
      </c>
      <c r="B47" s="6" t="s">
        <v>15</v>
      </c>
      <c r="C47" s="6"/>
      <c r="D47" s="6"/>
      <c r="E47" s="6"/>
      <c r="F47" s="6"/>
      <c r="G47" s="6"/>
      <c r="H47" s="4"/>
      <c r="I47" s="4"/>
      <c r="J47" s="4"/>
    </row>
    <row r="48" spans="1:19" x14ac:dyDescent="0.3">
      <c r="A48" s="4"/>
      <c r="B48" s="4" t="s">
        <v>16</v>
      </c>
      <c r="C48" s="4" t="s">
        <v>17</v>
      </c>
      <c r="D48" s="4" t="s">
        <v>18</v>
      </c>
      <c r="E48" s="4" t="s">
        <v>19</v>
      </c>
      <c r="F48" s="4" t="s">
        <v>20</v>
      </c>
      <c r="G48" s="4" t="s">
        <v>21</v>
      </c>
      <c r="H48" s="4" t="s">
        <v>22</v>
      </c>
      <c r="I48" s="4" t="s">
        <v>23</v>
      </c>
      <c r="J48" s="4" t="s">
        <v>24</v>
      </c>
    </row>
    <row r="49" spans="1:10" x14ac:dyDescent="0.3">
      <c r="A49" s="4" t="s">
        <v>11</v>
      </c>
      <c r="B49" s="4">
        <v>29.76</v>
      </c>
      <c r="C49" s="4">
        <v>30.94</v>
      </c>
      <c r="D49" s="4">
        <v>32.729999999999997</v>
      </c>
      <c r="E49" s="4">
        <v>31.09</v>
      </c>
      <c r="F49" s="4">
        <v>30.73</v>
      </c>
      <c r="G49" s="4">
        <f>ROUND(AVERAGE(B49:F49),2)</f>
        <v>31.05</v>
      </c>
      <c r="H49" s="4">
        <v>31.56</v>
      </c>
      <c r="I49" s="4">
        <v>4.05</v>
      </c>
      <c r="J49" s="4">
        <v>0.59</v>
      </c>
    </row>
    <row r="50" spans="1:10" x14ac:dyDescent="0.3">
      <c r="A50" s="4" t="s">
        <v>8</v>
      </c>
      <c r="B50" s="13"/>
      <c r="C50" s="13"/>
      <c r="D50" s="13"/>
      <c r="E50" s="13"/>
      <c r="F50" s="13"/>
      <c r="G50" s="4">
        <v>28.33</v>
      </c>
      <c r="H50" s="4">
        <v>26.54</v>
      </c>
      <c r="I50" s="4">
        <v>3.79</v>
      </c>
      <c r="J50" s="4">
        <v>0.7</v>
      </c>
    </row>
    <row r="51" spans="1:10" x14ac:dyDescent="0.3">
      <c r="A51" s="4" t="s">
        <v>9</v>
      </c>
      <c r="B51" s="4">
        <v>33.43</v>
      </c>
      <c r="C51" s="4">
        <v>29.83</v>
      </c>
      <c r="D51" s="4">
        <v>32.44</v>
      </c>
      <c r="E51" s="4">
        <v>35.090000000000003</v>
      </c>
      <c r="F51" s="4">
        <v>34.21</v>
      </c>
      <c r="G51" s="4">
        <f t="shared" ref="G51:G53" si="6">ROUND(AVERAGE(B51:F51),2)</f>
        <v>33</v>
      </c>
      <c r="H51" s="4">
        <v>31.16</v>
      </c>
      <c r="I51" s="4">
        <v>3.93</v>
      </c>
      <c r="J51" s="4">
        <v>0.62</v>
      </c>
    </row>
    <row r="52" spans="1:10" x14ac:dyDescent="0.3">
      <c r="A52" s="4" t="s">
        <v>10</v>
      </c>
      <c r="B52" s="4">
        <v>29.28</v>
      </c>
      <c r="C52" s="4">
        <v>30.09</v>
      </c>
      <c r="D52" s="4">
        <v>29.54</v>
      </c>
      <c r="E52" s="4">
        <v>28.75</v>
      </c>
      <c r="F52" s="4">
        <v>32.75</v>
      </c>
      <c r="G52" s="4">
        <f t="shared" si="6"/>
        <v>30.08</v>
      </c>
      <c r="H52" s="4">
        <v>27.83</v>
      </c>
      <c r="I52" s="4">
        <v>3.66</v>
      </c>
      <c r="J52" s="4">
        <v>0.6</v>
      </c>
    </row>
    <row r="53" spans="1:10" x14ac:dyDescent="0.3">
      <c r="A53" s="4" t="s">
        <v>25</v>
      </c>
      <c r="B53" s="4">
        <v>31.03</v>
      </c>
      <c r="C53" s="4">
        <v>27.94</v>
      </c>
      <c r="D53" s="4">
        <v>29.68</v>
      </c>
      <c r="E53" s="4">
        <v>29.87</v>
      </c>
      <c r="F53" s="4">
        <v>33.880000000000003</v>
      </c>
      <c r="G53" s="4">
        <f t="shared" si="6"/>
        <v>30.48</v>
      </c>
      <c r="H53" s="4">
        <v>25.37</v>
      </c>
      <c r="I53" s="4">
        <v>3.55</v>
      </c>
      <c r="J53" s="4">
        <v>0.7</v>
      </c>
    </row>
    <row r="54" spans="1:10" x14ac:dyDescent="0.3">
      <c r="A54" s="11"/>
      <c r="B54" s="11"/>
      <c r="C54" s="11"/>
      <c r="D54" s="11"/>
      <c r="E54" s="11"/>
      <c r="F54" s="11"/>
      <c r="G54" s="4">
        <f>ROUND(AVERAGE(G49:G53), 2)</f>
        <v>30.59</v>
      </c>
      <c r="H54" s="4">
        <f>ROUND(AVERAGE(H49:H53), 2)</f>
        <v>28.49</v>
      </c>
      <c r="I54" s="4">
        <f t="shared" ref="I54:J54" si="7">ROUND(AVERAGE(I49:I53), 2)</f>
        <v>3.8</v>
      </c>
      <c r="J54" s="4">
        <f t="shared" si="7"/>
        <v>0.64</v>
      </c>
    </row>
    <row r="55" spans="1:10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3">
      <c r="A58" s="4" t="s">
        <v>2</v>
      </c>
      <c r="B58" s="6" t="s">
        <v>15</v>
      </c>
      <c r="C58" s="6"/>
      <c r="D58" s="6"/>
      <c r="E58" s="6"/>
      <c r="F58" s="6"/>
      <c r="G58" s="6"/>
      <c r="H58" s="4"/>
      <c r="I58" s="4"/>
      <c r="J58" s="4"/>
    </row>
    <row r="59" spans="1:10" x14ac:dyDescent="0.3">
      <c r="A59" s="4"/>
      <c r="B59" s="4" t="s">
        <v>16</v>
      </c>
      <c r="C59" s="4" t="s">
        <v>17</v>
      </c>
      <c r="D59" s="4" t="s">
        <v>18</v>
      </c>
      <c r="E59" s="4" t="s">
        <v>19</v>
      </c>
      <c r="F59" s="4" t="s">
        <v>20</v>
      </c>
      <c r="G59" s="4" t="s">
        <v>21</v>
      </c>
      <c r="H59" s="4" t="s">
        <v>22</v>
      </c>
      <c r="I59" s="4" t="s">
        <v>23</v>
      </c>
      <c r="J59" s="4" t="s">
        <v>24</v>
      </c>
    </row>
    <row r="60" spans="1:10" x14ac:dyDescent="0.3">
      <c r="A60" s="4" t="s">
        <v>11</v>
      </c>
      <c r="B60" s="4">
        <v>44.12</v>
      </c>
      <c r="C60" s="4">
        <v>46.27</v>
      </c>
      <c r="D60" s="4">
        <v>46.53</v>
      </c>
      <c r="E60" s="4">
        <v>44.8</v>
      </c>
      <c r="F60" s="4">
        <v>45.83</v>
      </c>
      <c r="G60" s="4">
        <f>ROUND(AVERAGE(B60:F60),2)</f>
        <v>45.51</v>
      </c>
      <c r="H60" s="4">
        <v>42.87</v>
      </c>
      <c r="I60" s="4">
        <v>4.67</v>
      </c>
      <c r="J60" s="4">
        <v>0.44</v>
      </c>
    </row>
    <row r="61" spans="1:10" x14ac:dyDescent="0.3">
      <c r="A61" s="4" t="s">
        <v>8</v>
      </c>
      <c r="B61" s="4">
        <v>43.9</v>
      </c>
      <c r="C61" s="4">
        <v>44.33</v>
      </c>
      <c r="D61" s="4">
        <v>41.62</v>
      </c>
      <c r="E61" s="4">
        <v>42.88</v>
      </c>
      <c r="F61" s="4">
        <v>43.83</v>
      </c>
      <c r="G61" s="4">
        <f t="shared" ref="G61:G64" si="8">ROUND(AVERAGE(B61:F61),2)</f>
        <v>43.31</v>
      </c>
      <c r="H61" s="4">
        <v>41.7</v>
      </c>
      <c r="I61" s="4">
        <v>4.67</v>
      </c>
      <c r="J61" s="4">
        <v>0.52</v>
      </c>
    </row>
    <row r="62" spans="1:10" x14ac:dyDescent="0.3">
      <c r="A62" s="4" t="s">
        <v>9</v>
      </c>
      <c r="B62" s="4">
        <v>50.04</v>
      </c>
      <c r="C62" s="4">
        <v>50.86</v>
      </c>
      <c r="D62" s="4">
        <v>47.04</v>
      </c>
      <c r="E62" s="4">
        <v>48.46</v>
      </c>
      <c r="F62" s="4">
        <v>52.87</v>
      </c>
      <c r="G62" s="4">
        <f t="shared" si="8"/>
        <v>49.85</v>
      </c>
      <c r="H62" s="4">
        <v>46.76</v>
      </c>
      <c r="I62" s="4">
        <v>4.79</v>
      </c>
      <c r="J62" s="4">
        <v>0.43</v>
      </c>
    </row>
    <row r="63" spans="1:10" x14ac:dyDescent="0.3">
      <c r="A63" s="4" t="s">
        <v>10</v>
      </c>
      <c r="B63" s="4">
        <v>39.15</v>
      </c>
      <c r="C63" s="4">
        <v>42.34</v>
      </c>
      <c r="D63" s="4">
        <v>40.51</v>
      </c>
      <c r="E63" s="4">
        <v>39.71</v>
      </c>
      <c r="F63" s="4">
        <v>43.27</v>
      </c>
      <c r="G63" s="4">
        <f t="shared" si="8"/>
        <v>41</v>
      </c>
      <c r="H63" s="4">
        <v>39.51</v>
      </c>
      <c r="I63" s="4">
        <v>4.4800000000000004</v>
      </c>
      <c r="J63" s="4">
        <v>0.44</v>
      </c>
    </row>
    <row r="64" spans="1:10" x14ac:dyDescent="0.3">
      <c r="A64" s="4" t="s">
        <v>25</v>
      </c>
      <c r="B64" s="4">
        <v>46.88</v>
      </c>
      <c r="C64" s="4">
        <v>48.78</v>
      </c>
      <c r="D64" s="4">
        <v>49.48</v>
      </c>
      <c r="E64" s="4">
        <v>43.41</v>
      </c>
      <c r="F64" s="4">
        <v>47.53</v>
      </c>
      <c r="G64" s="4">
        <f t="shared" si="8"/>
        <v>47.22</v>
      </c>
      <c r="H64" s="4">
        <v>45.04</v>
      </c>
      <c r="I64" s="4">
        <v>4.62</v>
      </c>
      <c r="J64" s="4">
        <v>0.48</v>
      </c>
    </row>
    <row r="65" spans="1:10" x14ac:dyDescent="0.3">
      <c r="A65" s="11"/>
      <c r="B65" s="11"/>
      <c r="C65" s="11"/>
      <c r="D65" s="11"/>
      <c r="E65" s="11"/>
      <c r="F65" s="11"/>
      <c r="G65" s="4">
        <f>ROUND(AVERAGE(G60:G64), 2)</f>
        <v>45.38</v>
      </c>
      <c r="H65" s="4">
        <f t="shared" ref="H65:J65" si="9">ROUND(AVERAGE(H60:H64), 2)</f>
        <v>43.18</v>
      </c>
      <c r="I65" s="4">
        <f t="shared" si="9"/>
        <v>4.6500000000000004</v>
      </c>
      <c r="J65" s="4">
        <f t="shared" si="9"/>
        <v>0.46</v>
      </c>
    </row>
    <row r="66" spans="1:10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9" spans="1:10" x14ac:dyDescent="0.3">
      <c r="A69" s="4" t="s">
        <v>1</v>
      </c>
      <c r="B69" s="6" t="s">
        <v>15</v>
      </c>
      <c r="C69" s="6"/>
      <c r="D69" s="6"/>
      <c r="E69" s="6"/>
      <c r="F69" s="6"/>
      <c r="G69" s="6"/>
      <c r="H69" s="4"/>
      <c r="I69" s="4"/>
      <c r="J69" s="4"/>
    </row>
    <row r="70" spans="1:10" x14ac:dyDescent="0.3">
      <c r="A70" s="4"/>
      <c r="B70" s="4" t="s">
        <v>16</v>
      </c>
      <c r="C70" s="4" t="s">
        <v>17</v>
      </c>
      <c r="D70" s="4" t="s">
        <v>18</v>
      </c>
      <c r="E70" s="4" t="s">
        <v>19</v>
      </c>
      <c r="F70" s="4" t="s">
        <v>20</v>
      </c>
      <c r="G70" s="4" t="s">
        <v>21</v>
      </c>
      <c r="H70" s="4" t="s">
        <v>22</v>
      </c>
      <c r="I70" s="4" t="s">
        <v>23</v>
      </c>
      <c r="J70" s="4" t="s">
        <v>24</v>
      </c>
    </row>
    <row r="71" spans="1:10" x14ac:dyDescent="0.3">
      <c r="A71" s="4" t="s">
        <v>11</v>
      </c>
      <c r="B71" s="4">
        <v>32.69</v>
      </c>
      <c r="C71" s="4">
        <v>36.11</v>
      </c>
      <c r="D71" s="4">
        <v>33.18</v>
      </c>
      <c r="E71" s="4">
        <v>33.340000000000003</v>
      </c>
      <c r="F71" s="4">
        <v>33.86</v>
      </c>
      <c r="G71" s="4">
        <f>ROUND(AVERAGE(B71:F71),2)</f>
        <v>33.840000000000003</v>
      </c>
      <c r="H71" s="4">
        <v>33.450000000000003</v>
      </c>
      <c r="I71" s="4">
        <v>3.63</v>
      </c>
      <c r="J71" s="4">
        <v>0.56000000000000005</v>
      </c>
    </row>
    <row r="72" spans="1:10" x14ac:dyDescent="0.3">
      <c r="A72" s="4" t="s">
        <v>8</v>
      </c>
      <c r="B72" s="4">
        <v>31.08</v>
      </c>
      <c r="C72" s="4">
        <v>31.29</v>
      </c>
      <c r="D72" s="4">
        <v>29</v>
      </c>
      <c r="E72" s="4">
        <v>31.74</v>
      </c>
      <c r="F72" s="4">
        <v>31.08</v>
      </c>
      <c r="G72" s="4">
        <f t="shared" ref="G72:G75" si="10">ROUND(AVERAGE(B72:F72),2)</f>
        <v>30.84</v>
      </c>
      <c r="H72" s="4">
        <v>30.76</v>
      </c>
      <c r="I72" s="4">
        <v>4.07</v>
      </c>
      <c r="J72" s="4">
        <v>0.65</v>
      </c>
    </row>
    <row r="73" spans="1:10" x14ac:dyDescent="0.3">
      <c r="A73" s="4" t="s">
        <v>9</v>
      </c>
      <c r="B73" s="4">
        <v>35.86</v>
      </c>
      <c r="C73" s="4">
        <v>38.549999999999997</v>
      </c>
      <c r="D73" s="4">
        <v>38.590000000000003</v>
      </c>
      <c r="E73" s="4">
        <v>37.89</v>
      </c>
      <c r="F73" s="4">
        <v>33.49</v>
      </c>
      <c r="G73" s="4">
        <f t="shared" si="10"/>
        <v>36.880000000000003</v>
      </c>
      <c r="H73" s="4">
        <v>33.159999999999997</v>
      </c>
      <c r="I73" s="4">
        <v>3.82</v>
      </c>
      <c r="J73" s="4">
        <v>0.6</v>
      </c>
    </row>
    <row r="74" spans="1:10" x14ac:dyDescent="0.3">
      <c r="A74" s="4" t="s">
        <v>10</v>
      </c>
      <c r="B74" s="4">
        <v>31.54</v>
      </c>
      <c r="C74" s="4">
        <v>37.04</v>
      </c>
      <c r="D74" s="4">
        <v>31.26</v>
      </c>
      <c r="E74" s="4">
        <v>31.69</v>
      </c>
      <c r="F74" s="4">
        <v>33.18</v>
      </c>
      <c r="G74" s="4">
        <f t="shared" si="10"/>
        <v>32.94</v>
      </c>
      <c r="H74" s="4">
        <v>32.159999999999997</v>
      </c>
      <c r="I74" s="4">
        <v>3.74</v>
      </c>
      <c r="J74" s="4">
        <v>0.54</v>
      </c>
    </row>
    <row r="75" spans="1:10" x14ac:dyDescent="0.3">
      <c r="A75" s="4" t="s">
        <v>25</v>
      </c>
      <c r="B75" s="4">
        <v>32.61</v>
      </c>
      <c r="C75" s="4">
        <v>35.26</v>
      </c>
      <c r="D75" s="4">
        <v>34.29</v>
      </c>
      <c r="E75" s="4">
        <v>30.34</v>
      </c>
      <c r="F75" s="4">
        <v>35.1</v>
      </c>
      <c r="G75" s="4">
        <f t="shared" si="10"/>
        <v>33.520000000000003</v>
      </c>
      <c r="H75" s="4">
        <v>31.46</v>
      </c>
      <c r="I75" s="4">
        <v>3.96</v>
      </c>
      <c r="J75" s="4">
        <v>0.63</v>
      </c>
    </row>
    <row r="76" spans="1:10" x14ac:dyDescent="0.3">
      <c r="A76" s="11"/>
      <c r="B76" s="11"/>
      <c r="C76" s="11"/>
      <c r="D76" s="11"/>
      <c r="E76" s="11"/>
      <c r="F76" s="11"/>
      <c r="G76" s="4">
        <f>ROUND(AVERAGE(G71:G75), 2)</f>
        <v>33.6</v>
      </c>
      <c r="H76" s="4">
        <f t="shared" ref="H76:J76" si="11">ROUND(AVERAGE(H71:H75), 2)</f>
        <v>32.200000000000003</v>
      </c>
      <c r="I76" s="4">
        <f t="shared" si="11"/>
        <v>3.84</v>
      </c>
      <c r="J76" s="4">
        <f t="shared" si="11"/>
        <v>0.6</v>
      </c>
    </row>
    <row r="77" spans="1:10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80" spans="1:10" x14ac:dyDescent="0.3">
      <c r="A80" s="4" t="s">
        <v>3</v>
      </c>
      <c r="B80" s="6" t="s">
        <v>15</v>
      </c>
      <c r="C80" s="6"/>
      <c r="D80" s="6"/>
      <c r="E80" s="6"/>
      <c r="F80" s="6"/>
      <c r="G80" s="6"/>
      <c r="H80" s="4"/>
      <c r="I80" s="4"/>
      <c r="J80" s="4"/>
    </row>
    <row r="81" spans="1:10" x14ac:dyDescent="0.3">
      <c r="A81" s="4"/>
      <c r="B81" s="4" t="s">
        <v>16</v>
      </c>
      <c r="C81" s="4" t="s">
        <v>17</v>
      </c>
      <c r="D81" s="4" t="s">
        <v>18</v>
      </c>
      <c r="E81" s="4" t="s">
        <v>19</v>
      </c>
      <c r="F81" s="4" t="s">
        <v>20</v>
      </c>
      <c r="G81" s="4" t="s">
        <v>21</v>
      </c>
      <c r="H81" s="4" t="s">
        <v>22</v>
      </c>
      <c r="I81" s="4" t="s">
        <v>23</v>
      </c>
      <c r="J81" s="4" t="s">
        <v>24</v>
      </c>
    </row>
    <row r="82" spans="1:10" x14ac:dyDescent="0.3">
      <c r="A82" s="4" t="s">
        <v>11</v>
      </c>
      <c r="B82" s="4">
        <v>6.09</v>
      </c>
      <c r="C82" s="4">
        <v>5.68</v>
      </c>
      <c r="D82" s="13"/>
      <c r="E82" s="13"/>
      <c r="F82" s="13"/>
      <c r="G82" s="4">
        <f>ROUND(AVERAGE(B82:F82),2)</f>
        <v>5.89</v>
      </c>
      <c r="H82" s="4">
        <v>5613.1</v>
      </c>
      <c r="I82" s="4">
        <v>74.510000000000005</v>
      </c>
      <c r="J82" s="4">
        <v>-72.7</v>
      </c>
    </row>
    <row r="83" spans="1:10" x14ac:dyDescent="0.3">
      <c r="A83" s="4" t="s">
        <v>8</v>
      </c>
      <c r="B83" s="4">
        <v>7.38</v>
      </c>
      <c r="C83" s="4">
        <v>6.01</v>
      </c>
      <c r="D83" s="4">
        <v>6.9</v>
      </c>
      <c r="E83" s="4">
        <v>6.83</v>
      </c>
      <c r="F83" s="4">
        <v>6.63</v>
      </c>
      <c r="G83" s="4">
        <f t="shared" ref="G83:G86" si="12">ROUND(AVERAGE(B83:F83),2)</f>
        <v>6.75</v>
      </c>
      <c r="H83" s="4">
        <v>5732.33</v>
      </c>
      <c r="I83" s="4">
        <v>75.239999999999995</v>
      </c>
      <c r="J83" s="4">
        <v>-64.349999999999994</v>
      </c>
    </row>
    <row r="84" spans="1:10" x14ac:dyDescent="0.3">
      <c r="A84" s="4" t="s">
        <v>9</v>
      </c>
      <c r="B84" s="4">
        <v>7.11</v>
      </c>
      <c r="C84" s="4">
        <v>6.62</v>
      </c>
      <c r="D84" s="4">
        <v>7.26</v>
      </c>
      <c r="E84" s="4">
        <v>6.61</v>
      </c>
      <c r="F84" s="4">
        <v>6.79</v>
      </c>
      <c r="G84" s="4">
        <f t="shared" si="12"/>
        <v>6.88</v>
      </c>
      <c r="H84" s="4">
        <v>5709.58</v>
      </c>
      <c r="I84" s="4">
        <v>75.09</v>
      </c>
      <c r="J84" s="4">
        <v>-68.25</v>
      </c>
    </row>
    <row r="85" spans="1:10" x14ac:dyDescent="0.3">
      <c r="A85" s="4" t="s">
        <v>10</v>
      </c>
      <c r="B85" s="4">
        <v>7.14</v>
      </c>
      <c r="C85" s="4">
        <v>7.33</v>
      </c>
      <c r="D85" s="4">
        <v>7.61</v>
      </c>
      <c r="E85" s="13"/>
      <c r="F85" s="13"/>
      <c r="G85" s="4">
        <f t="shared" si="12"/>
        <v>7.36</v>
      </c>
      <c r="H85" s="4">
        <v>5827.28</v>
      </c>
      <c r="I85" s="4">
        <v>75.959999999999994</v>
      </c>
      <c r="J85" s="4">
        <v>-82.31</v>
      </c>
    </row>
    <row r="86" spans="1:10" x14ac:dyDescent="0.3">
      <c r="A86" s="4" t="s">
        <v>25</v>
      </c>
      <c r="B86" s="4">
        <v>7.48</v>
      </c>
      <c r="C86" s="4">
        <v>8.14</v>
      </c>
      <c r="D86" s="4">
        <v>7.87</v>
      </c>
      <c r="E86" s="4">
        <v>7.79</v>
      </c>
      <c r="F86" s="4">
        <v>8.98</v>
      </c>
      <c r="G86" s="4">
        <f t="shared" si="12"/>
        <v>8.0500000000000007</v>
      </c>
      <c r="H86" s="4">
        <v>5725.73</v>
      </c>
      <c r="I86" s="4">
        <v>75.19</v>
      </c>
      <c r="J86" s="4">
        <v>-65.64</v>
      </c>
    </row>
    <row r="87" spans="1:10" x14ac:dyDescent="0.3">
      <c r="G87" s="4">
        <f>ROUND(AVERAGE(G82:G86), 2)</f>
        <v>6.99</v>
      </c>
      <c r="H87" s="4">
        <f t="shared" ref="H87:J87" si="13">ROUND(AVERAGE(H82:H86), 2)</f>
        <v>5721.6</v>
      </c>
      <c r="I87" s="4">
        <f t="shared" si="13"/>
        <v>75.2</v>
      </c>
      <c r="J87" s="4">
        <f t="shared" si="13"/>
        <v>-70.650000000000006</v>
      </c>
    </row>
    <row r="88" spans="1:10" x14ac:dyDescent="0.3">
      <c r="G88" s="11"/>
      <c r="H88" s="11"/>
      <c r="I88" s="11"/>
      <c r="J88" s="11"/>
    </row>
    <row r="91" spans="1:10" s="9" customFormat="1" x14ac:dyDescent="0.3">
      <c r="A91" s="7" t="s">
        <v>28</v>
      </c>
      <c r="B91" s="7"/>
      <c r="C91" s="7"/>
      <c r="D91" s="7"/>
      <c r="E91" s="7"/>
      <c r="F91" s="7"/>
      <c r="G91" s="7"/>
      <c r="H91" s="7"/>
      <c r="I91" s="7"/>
      <c r="J91" s="7"/>
    </row>
    <row r="93" spans="1:10" x14ac:dyDescent="0.3">
      <c r="A93" s="4" t="s">
        <v>8</v>
      </c>
      <c r="B93" s="6" t="s">
        <v>15</v>
      </c>
      <c r="C93" s="6"/>
      <c r="D93" s="6"/>
      <c r="E93" s="6"/>
      <c r="F93" s="6"/>
      <c r="G93" s="6"/>
      <c r="H93" s="4"/>
      <c r="I93" s="4"/>
      <c r="J93" s="4"/>
    </row>
    <row r="94" spans="1:10" x14ac:dyDescent="0.3">
      <c r="A94" s="4"/>
      <c r="B94" s="4" t="s">
        <v>16</v>
      </c>
      <c r="C94" s="4" t="s">
        <v>17</v>
      </c>
      <c r="D94" s="4" t="s">
        <v>18</v>
      </c>
      <c r="E94" s="4" t="s">
        <v>19</v>
      </c>
      <c r="F94" s="4" t="s">
        <v>20</v>
      </c>
      <c r="G94" s="4" t="s">
        <v>21</v>
      </c>
      <c r="H94" s="4" t="s">
        <v>22</v>
      </c>
      <c r="I94" s="4" t="s">
        <v>23</v>
      </c>
      <c r="J94" s="4" t="s">
        <v>24</v>
      </c>
    </row>
    <row r="95" spans="1:10" x14ac:dyDescent="0.3">
      <c r="A95" s="4" t="s">
        <v>2</v>
      </c>
      <c r="B95" s="4">
        <v>43.9</v>
      </c>
      <c r="C95" s="4">
        <v>44.33</v>
      </c>
      <c r="D95" s="4">
        <v>41.62</v>
      </c>
      <c r="E95" s="4">
        <v>42.88</v>
      </c>
      <c r="F95" s="4">
        <v>43.83</v>
      </c>
      <c r="G95" s="4">
        <f>ROUND(AVERAGE(B95:F95),2)</f>
        <v>43.31</v>
      </c>
      <c r="H95" s="4">
        <v>41.7</v>
      </c>
      <c r="I95" s="4">
        <v>4.67</v>
      </c>
      <c r="J95" s="4">
        <v>0.52</v>
      </c>
    </row>
    <row r="96" spans="1:10" x14ac:dyDescent="0.3">
      <c r="A96" s="4" t="s">
        <v>3</v>
      </c>
      <c r="B96" s="4">
        <v>7.38</v>
      </c>
      <c r="C96" s="4">
        <v>6.01</v>
      </c>
      <c r="D96" s="4">
        <v>6.9</v>
      </c>
      <c r="E96" s="4">
        <v>6.83</v>
      </c>
      <c r="F96" s="4">
        <v>6.63</v>
      </c>
      <c r="G96" s="4">
        <f t="shared" ref="G96:G98" si="14">ROUND(AVERAGE(B96:F96),2)</f>
        <v>6.75</v>
      </c>
      <c r="H96" s="4">
        <v>5732.33</v>
      </c>
      <c r="I96" s="4">
        <v>75.239999999999995</v>
      </c>
      <c r="J96" s="4">
        <v>-64.349999999999994</v>
      </c>
    </row>
    <row r="97" spans="1:10" x14ac:dyDescent="0.3">
      <c r="A97" s="4" t="s">
        <v>1</v>
      </c>
      <c r="B97" s="4">
        <v>31.08</v>
      </c>
      <c r="C97" s="4">
        <v>31.29</v>
      </c>
      <c r="D97" s="4">
        <v>29</v>
      </c>
      <c r="E97" s="4">
        <v>31.74</v>
      </c>
      <c r="F97" s="4">
        <v>31.08</v>
      </c>
      <c r="G97" s="4">
        <f t="shared" si="14"/>
        <v>30.84</v>
      </c>
      <c r="H97" s="4">
        <v>30.76</v>
      </c>
      <c r="I97" s="4">
        <v>4.07</v>
      </c>
      <c r="J97" s="4">
        <v>0.65</v>
      </c>
    </row>
    <row r="98" spans="1:10" x14ac:dyDescent="0.3">
      <c r="A98" s="4" t="s">
        <v>4</v>
      </c>
      <c r="B98" s="4">
        <v>12.57</v>
      </c>
      <c r="C98" s="4">
        <v>11.82</v>
      </c>
      <c r="D98" s="4">
        <v>12.48</v>
      </c>
      <c r="E98" s="4">
        <v>13.1</v>
      </c>
      <c r="F98" s="4">
        <v>13.57</v>
      </c>
      <c r="G98" s="4">
        <f t="shared" si="14"/>
        <v>12.71</v>
      </c>
      <c r="H98" s="4">
        <v>11.74</v>
      </c>
      <c r="I98" s="4">
        <v>2.09</v>
      </c>
      <c r="J98" s="4">
        <v>0.87</v>
      </c>
    </row>
    <row r="99" spans="1:10" x14ac:dyDescent="0.3">
      <c r="A99" s="4" t="s">
        <v>0</v>
      </c>
      <c r="B99" s="13"/>
      <c r="C99" s="13"/>
      <c r="D99" s="13"/>
      <c r="E99" s="13"/>
      <c r="F99" s="13"/>
      <c r="G99" s="4">
        <v>28.33</v>
      </c>
      <c r="H99" s="4">
        <v>26.54</v>
      </c>
      <c r="I99" s="4">
        <v>3.79</v>
      </c>
      <c r="J99" s="4">
        <v>0.7</v>
      </c>
    </row>
    <row r="100" spans="1:10" x14ac:dyDescent="0.3">
      <c r="A100" s="10" t="s">
        <v>5</v>
      </c>
      <c r="B100" s="4">
        <v>15.13</v>
      </c>
      <c r="C100" s="4">
        <v>15.58</v>
      </c>
      <c r="D100" s="4">
        <v>13.88</v>
      </c>
      <c r="E100" s="4">
        <v>18.239999999999998</v>
      </c>
      <c r="F100" s="4">
        <v>15.12</v>
      </c>
      <c r="G100" s="4">
        <f t="shared" ref="G100" si="15">AVERAGE(B100:F100)</f>
        <v>15.59</v>
      </c>
      <c r="H100" s="4">
        <v>15.16</v>
      </c>
      <c r="I100" s="4">
        <v>2.2599999999999998</v>
      </c>
      <c r="J100" s="4">
        <v>0.82</v>
      </c>
    </row>
    <row r="101" spans="1:10" x14ac:dyDescent="0.3">
      <c r="A101" s="12"/>
      <c r="B101" s="11"/>
      <c r="C101" s="11"/>
      <c r="D101" s="11"/>
      <c r="E101" s="11"/>
      <c r="F101" s="11"/>
      <c r="G101" s="4">
        <f t="shared" ref="G101:J101" si="16">ROUND(AVERAGE(G95,G97:G100),2)</f>
        <v>26.16</v>
      </c>
      <c r="H101" s="4">
        <f t="shared" si="16"/>
        <v>25.18</v>
      </c>
      <c r="I101" s="4">
        <f t="shared" si="16"/>
        <v>3.38</v>
      </c>
      <c r="J101" s="4">
        <f t="shared" si="16"/>
        <v>0.71</v>
      </c>
    </row>
    <row r="102" spans="1:10" x14ac:dyDescent="0.3">
      <c r="A102" s="12"/>
      <c r="B102" s="11"/>
      <c r="C102" s="11"/>
      <c r="D102" s="11"/>
      <c r="E102" s="11"/>
      <c r="F102" s="11"/>
      <c r="G102" s="11"/>
      <c r="H102" s="11"/>
      <c r="I102" s="11"/>
      <c r="J102" s="11"/>
    </row>
    <row r="104" spans="1:10" x14ac:dyDescent="0.3">
      <c r="A104" s="4" t="s">
        <v>11</v>
      </c>
      <c r="B104" s="6" t="s">
        <v>15</v>
      </c>
      <c r="C104" s="6"/>
      <c r="D104" s="6"/>
      <c r="E104" s="6"/>
      <c r="F104" s="6"/>
      <c r="G104" s="6"/>
      <c r="H104" s="4"/>
      <c r="I104" s="4"/>
      <c r="J104" s="4"/>
    </row>
    <row r="105" spans="1:10" x14ac:dyDescent="0.3">
      <c r="A105" s="4"/>
      <c r="B105" s="4" t="s">
        <v>16</v>
      </c>
      <c r="C105" s="4" t="s">
        <v>17</v>
      </c>
      <c r="D105" s="4" t="s">
        <v>18</v>
      </c>
      <c r="E105" s="4" t="s">
        <v>19</v>
      </c>
      <c r="F105" s="4" t="s">
        <v>20</v>
      </c>
      <c r="G105" s="4" t="s">
        <v>21</v>
      </c>
      <c r="H105" s="4" t="s">
        <v>22</v>
      </c>
      <c r="I105" s="4" t="s">
        <v>23</v>
      </c>
      <c r="J105" s="4" t="s">
        <v>24</v>
      </c>
    </row>
    <row r="106" spans="1:10" x14ac:dyDescent="0.3">
      <c r="A106" s="4" t="s">
        <v>2</v>
      </c>
      <c r="B106" s="4">
        <v>44.12</v>
      </c>
      <c r="C106" s="4">
        <v>46.27</v>
      </c>
      <c r="D106" s="4">
        <v>46.53</v>
      </c>
      <c r="E106" s="4">
        <v>44.8</v>
      </c>
      <c r="F106" s="4">
        <v>45.83</v>
      </c>
      <c r="G106" s="4">
        <f>ROUND(AVERAGE(B106:F106),2)</f>
        <v>45.51</v>
      </c>
      <c r="H106" s="4">
        <v>42.87</v>
      </c>
      <c r="I106" s="4">
        <v>4.67</v>
      </c>
      <c r="J106" s="4">
        <v>0.44</v>
      </c>
    </row>
    <row r="107" spans="1:10" x14ac:dyDescent="0.3">
      <c r="A107" s="4" t="s">
        <v>3</v>
      </c>
      <c r="B107" s="4">
        <v>6.09</v>
      </c>
      <c r="C107" s="4">
        <v>5.68</v>
      </c>
      <c r="D107" s="13"/>
      <c r="E107" s="13"/>
      <c r="F107" s="13"/>
      <c r="G107" s="4">
        <f t="shared" ref="G107:G111" si="17">ROUND(AVERAGE(B107:F107),2)</f>
        <v>5.89</v>
      </c>
      <c r="H107" s="4">
        <v>5613.1</v>
      </c>
      <c r="I107" s="4">
        <v>74.510000000000005</v>
      </c>
      <c r="J107" s="4">
        <v>-72.7</v>
      </c>
    </row>
    <row r="108" spans="1:10" x14ac:dyDescent="0.3">
      <c r="A108" s="4" t="s">
        <v>1</v>
      </c>
      <c r="B108" s="4">
        <v>32.69</v>
      </c>
      <c r="C108" s="4">
        <v>36.11</v>
      </c>
      <c r="D108" s="4">
        <v>33.18</v>
      </c>
      <c r="E108" s="4">
        <v>33.340000000000003</v>
      </c>
      <c r="F108" s="4">
        <v>33.86</v>
      </c>
      <c r="G108" s="4">
        <f t="shared" si="17"/>
        <v>33.840000000000003</v>
      </c>
      <c r="H108" s="4">
        <v>33.450000000000003</v>
      </c>
      <c r="I108" s="4">
        <v>3.63</v>
      </c>
      <c r="J108" s="4">
        <v>0.56000000000000005</v>
      </c>
    </row>
    <row r="109" spans="1:10" x14ac:dyDescent="0.3">
      <c r="A109" s="4" t="s">
        <v>4</v>
      </c>
      <c r="B109" s="4">
        <v>10.54</v>
      </c>
      <c r="C109" s="4">
        <v>10.54</v>
      </c>
      <c r="D109" s="4">
        <v>11.29</v>
      </c>
      <c r="E109" s="4">
        <v>10.57</v>
      </c>
      <c r="F109" s="4">
        <v>11.59</v>
      </c>
      <c r="G109" s="4">
        <f t="shared" si="17"/>
        <v>10.91</v>
      </c>
      <c r="H109" s="4">
        <v>10.59</v>
      </c>
      <c r="I109" s="4">
        <v>1.89</v>
      </c>
      <c r="J109" s="4">
        <v>0.86</v>
      </c>
    </row>
    <row r="110" spans="1:10" x14ac:dyDescent="0.3">
      <c r="A110" s="4" t="s">
        <v>0</v>
      </c>
      <c r="B110" s="4">
        <v>29.76</v>
      </c>
      <c r="C110" s="4">
        <v>30.94</v>
      </c>
      <c r="D110" s="4">
        <v>32.729999999999997</v>
      </c>
      <c r="E110" s="4">
        <v>31.09</v>
      </c>
      <c r="F110" s="4">
        <v>30.73</v>
      </c>
      <c r="G110" s="4">
        <f t="shared" si="17"/>
        <v>31.05</v>
      </c>
      <c r="H110" s="4">
        <v>31.56</v>
      </c>
      <c r="I110" s="4">
        <v>4.05</v>
      </c>
      <c r="J110" s="4">
        <v>0.59</v>
      </c>
    </row>
    <row r="111" spans="1:10" x14ac:dyDescent="0.3">
      <c r="A111" s="10" t="s">
        <v>5</v>
      </c>
      <c r="B111" s="4">
        <v>25.26</v>
      </c>
      <c r="C111" s="4">
        <v>24.45</v>
      </c>
      <c r="D111" s="4">
        <v>26.14</v>
      </c>
      <c r="E111" s="4">
        <v>25.21</v>
      </c>
      <c r="F111" s="4">
        <v>27.44</v>
      </c>
      <c r="G111" s="4">
        <f t="shared" si="17"/>
        <v>25.7</v>
      </c>
      <c r="H111" s="4">
        <v>25.43</v>
      </c>
      <c r="I111" s="4">
        <v>2.91</v>
      </c>
      <c r="J111" s="4">
        <v>0.67</v>
      </c>
    </row>
    <row r="112" spans="1:10" x14ac:dyDescent="0.3">
      <c r="A112" s="12"/>
      <c r="B112" s="11"/>
      <c r="C112" s="11"/>
      <c r="D112" s="11"/>
      <c r="E112" s="11"/>
      <c r="F112" s="11"/>
      <c r="G112" s="4">
        <f>ROUND(AVERAGE(G106,G108:G111),2)</f>
        <v>29.4</v>
      </c>
      <c r="H112" s="4">
        <f t="shared" ref="H112" si="18">ROUND(AVERAGE(H106,H108:H111),2)</f>
        <v>28.78</v>
      </c>
      <c r="I112" s="4">
        <f t="shared" ref="I112" si="19">ROUND(AVERAGE(I106,I108:I111),2)</f>
        <v>3.43</v>
      </c>
      <c r="J112" s="4">
        <f t="shared" ref="J112" si="20">ROUND(AVERAGE(J106,J108:J111),2)</f>
        <v>0.62</v>
      </c>
    </row>
    <row r="113" spans="1:10" x14ac:dyDescent="0.3">
      <c r="A113" s="12"/>
      <c r="B113" s="11"/>
      <c r="C113" s="11"/>
      <c r="D113" s="11"/>
      <c r="E113" s="11"/>
      <c r="F113" s="11"/>
      <c r="G113" s="11"/>
      <c r="H113" s="11"/>
      <c r="I113" s="11"/>
      <c r="J113" s="11"/>
    </row>
    <row r="115" spans="1:10" x14ac:dyDescent="0.3">
      <c r="A115" s="4" t="s">
        <v>9</v>
      </c>
      <c r="B115" s="6" t="s">
        <v>15</v>
      </c>
      <c r="C115" s="6"/>
      <c r="D115" s="6"/>
      <c r="E115" s="6"/>
      <c r="F115" s="6"/>
      <c r="G115" s="6"/>
      <c r="H115" s="4"/>
      <c r="I115" s="4"/>
      <c r="J115" s="4"/>
    </row>
    <row r="116" spans="1:10" x14ac:dyDescent="0.3">
      <c r="A116" s="4"/>
      <c r="B116" s="4" t="s">
        <v>16</v>
      </c>
      <c r="C116" s="4" t="s">
        <v>17</v>
      </c>
      <c r="D116" s="4" t="s">
        <v>18</v>
      </c>
      <c r="E116" s="4" t="s">
        <v>19</v>
      </c>
      <c r="F116" s="4" t="s">
        <v>20</v>
      </c>
      <c r="G116" s="4" t="s">
        <v>21</v>
      </c>
      <c r="H116" s="4" t="s">
        <v>22</v>
      </c>
      <c r="I116" s="4" t="s">
        <v>23</v>
      </c>
      <c r="J116" s="4" t="s">
        <v>24</v>
      </c>
    </row>
    <row r="117" spans="1:10" x14ac:dyDescent="0.3">
      <c r="A117" s="4" t="s">
        <v>2</v>
      </c>
      <c r="B117" s="4">
        <v>50.04</v>
      </c>
      <c r="C117" s="4">
        <v>50.86</v>
      </c>
      <c r="D117" s="4">
        <v>47.04</v>
      </c>
      <c r="E117" s="4">
        <v>48.46</v>
      </c>
      <c r="F117" s="4">
        <v>52.87</v>
      </c>
      <c r="G117" s="4">
        <f>ROUND(AVERAGE(B117:F117),2)</f>
        <v>49.85</v>
      </c>
      <c r="H117" s="4">
        <v>46.76</v>
      </c>
      <c r="I117" s="4">
        <v>4.79</v>
      </c>
      <c r="J117" s="4">
        <v>0.43</v>
      </c>
    </row>
    <row r="118" spans="1:10" x14ac:dyDescent="0.3">
      <c r="A118" s="4" t="s">
        <v>3</v>
      </c>
      <c r="B118" s="4">
        <v>7.11</v>
      </c>
      <c r="C118" s="4">
        <v>6.62</v>
      </c>
      <c r="D118" s="4">
        <v>7.26</v>
      </c>
      <c r="E118" s="4">
        <v>6.61</v>
      </c>
      <c r="F118" s="4">
        <v>6.79</v>
      </c>
      <c r="G118" s="4">
        <f t="shared" ref="G118:G122" si="21">ROUND(AVERAGE(B118:F118),2)</f>
        <v>6.88</v>
      </c>
      <c r="H118" s="4">
        <v>5709.58</v>
      </c>
      <c r="I118" s="4">
        <v>75.09</v>
      </c>
      <c r="J118" s="4">
        <v>-68.25</v>
      </c>
    </row>
    <row r="119" spans="1:10" x14ac:dyDescent="0.3">
      <c r="A119" s="4" t="s">
        <v>1</v>
      </c>
      <c r="B119" s="4">
        <v>35.86</v>
      </c>
      <c r="C119" s="4">
        <v>38.549999999999997</v>
      </c>
      <c r="D119" s="4">
        <v>38.590000000000003</v>
      </c>
      <c r="E119" s="4">
        <v>37.89</v>
      </c>
      <c r="F119" s="4">
        <v>33.49</v>
      </c>
      <c r="G119" s="4">
        <f t="shared" si="21"/>
        <v>36.880000000000003</v>
      </c>
      <c r="H119" s="4">
        <v>33.159999999999997</v>
      </c>
      <c r="I119" s="4">
        <v>3.82</v>
      </c>
      <c r="J119" s="4">
        <v>0.6</v>
      </c>
    </row>
    <row r="120" spans="1:10" x14ac:dyDescent="0.3">
      <c r="A120" s="4" t="s">
        <v>4</v>
      </c>
      <c r="B120" s="4">
        <v>12.66</v>
      </c>
      <c r="C120" s="4">
        <v>16.36</v>
      </c>
      <c r="D120" s="4">
        <v>14.46</v>
      </c>
      <c r="E120" s="4">
        <v>14.91</v>
      </c>
      <c r="F120" s="4">
        <v>14.33</v>
      </c>
      <c r="G120" s="4">
        <f t="shared" si="21"/>
        <v>14.54</v>
      </c>
      <c r="H120" s="4">
        <v>11.82</v>
      </c>
      <c r="I120" s="4">
        <v>1.99</v>
      </c>
      <c r="J120" s="4">
        <v>0.86</v>
      </c>
    </row>
    <row r="121" spans="1:10" x14ac:dyDescent="0.3">
      <c r="A121" s="4" t="s">
        <v>0</v>
      </c>
      <c r="B121" s="4">
        <v>33.43</v>
      </c>
      <c r="C121" s="4">
        <v>29.83</v>
      </c>
      <c r="D121" s="4">
        <v>32.44</v>
      </c>
      <c r="E121" s="4">
        <v>35.090000000000003</v>
      </c>
      <c r="F121" s="4">
        <v>34.21</v>
      </c>
      <c r="G121" s="4">
        <f t="shared" si="21"/>
        <v>33</v>
      </c>
      <c r="H121" s="4">
        <v>31.16</v>
      </c>
      <c r="I121" s="4">
        <v>3.93</v>
      </c>
      <c r="J121" s="4">
        <v>0.62</v>
      </c>
    </row>
    <row r="122" spans="1:10" x14ac:dyDescent="0.3">
      <c r="A122" s="10" t="s">
        <v>5</v>
      </c>
      <c r="B122" s="4">
        <v>27.41</v>
      </c>
      <c r="C122" s="4">
        <v>28.26</v>
      </c>
      <c r="D122" s="4">
        <v>25.58</v>
      </c>
      <c r="E122" s="4">
        <v>26.13</v>
      </c>
      <c r="F122" s="4">
        <v>28.07</v>
      </c>
      <c r="G122" s="4">
        <f t="shared" si="21"/>
        <v>27.09</v>
      </c>
      <c r="H122" s="4">
        <v>24.38</v>
      </c>
      <c r="I122" s="4">
        <v>2.99</v>
      </c>
      <c r="J122" s="4">
        <v>0.7</v>
      </c>
    </row>
    <row r="123" spans="1:10" x14ac:dyDescent="0.3">
      <c r="A123" s="12"/>
      <c r="B123" s="11"/>
      <c r="C123" s="11"/>
      <c r="D123" s="11"/>
      <c r="E123" s="11"/>
      <c r="F123" s="11"/>
      <c r="G123" s="4">
        <f>ROUND(AVERAGE(G117,G119:G122),2)</f>
        <v>32.270000000000003</v>
      </c>
      <c r="H123" s="4">
        <f t="shared" ref="H123" si="22">ROUND(AVERAGE(H117,H119:H122),2)</f>
        <v>29.46</v>
      </c>
      <c r="I123" s="4">
        <f t="shared" ref="I123" si="23">ROUND(AVERAGE(I117,I119:I122),2)</f>
        <v>3.5</v>
      </c>
      <c r="J123" s="4">
        <f t="shared" ref="J123" si="24">ROUND(AVERAGE(J117,J119:J122),2)</f>
        <v>0.64</v>
      </c>
    </row>
    <row r="124" spans="1:10" x14ac:dyDescent="0.3">
      <c r="A124" s="12"/>
      <c r="B124" s="11"/>
      <c r="C124" s="11"/>
      <c r="D124" s="11"/>
      <c r="E124" s="11"/>
      <c r="F124" s="11"/>
      <c r="G124" s="11"/>
      <c r="H124" s="11"/>
      <c r="I124" s="11"/>
      <c r="J124" s="11"/>
    </row>
    <row r="126" spans="1:10" x14ac:dyDescent="0.3">
      <c r="A126" s="4" t="s">
        <v>10</v>
      </c>
      <c r="B126" s="6" t="s">
        <v>15</v>
      </c>
      <c r="C126" s="6"/>
      <c r="D126" s="6"/>
      <c r="E126" s="6"/>
      <c r="F126" s="6"/>
      <c r="G126" s="6"/>
      <c r="H126" s="4"/>
      <c r="I126" s="4"/>
      <c r="J126" s="4"/>
    </row>
    <row r="127" spans="1:10" x14ac:dyDescent="0.3">
      <c r="A127" s="4"/>
      <c r="B127" s="4" t="s">
        <v>16</v>
      </c>
      <c r="C127" s="4" t="s">
        <v>17</v>
      </c>
      <c r="D127" s="4" t="s">
        <v>18</v>
      </c>
      <c r="E127" s="4" t="s">
        <v>19</v>
      </c>
      <c r="F127" s="4" t="s">
        <v>20</v>
      </c>
      <c r="G127" s="4" t="s">
        <v>21</v>
      </c>
      <c r="H127" s="4" t="s">
        <v>22</v>
      </c>
      <c r="I127" s="4" t="s">
        <v>23</v>
      </c>
      <c r="J127" s="4" t="s">
        <v>24</v>
      </c>
    </row>
    <row r="128" spans="1:10" x14ac:dyDescent="0.3">
      <c r="A128" s="4" t="s">
        <v>2</v>
      </c>
      <c r="B128" s="4">
        <v>39.15</v>
      </c>
      <c r="C128" s="4">
        <v>42.34</v>
      </c>
      <c r="D128" s="4">
        <v>40.51</v>
      </c>
      <c r="E128" s="4">
        <v>39.71</v>
      </c>
      <c r="F128" s="4">
        <v>43.27</v>
      </c>
      <c r="G128" s="4">
        <f>ROUND(AVERAGE(B128:F128),2)</f>
        <v>41</v>
      </c>
      <c r="H128" s="4">
        <v>39.51</v>
      </c>
      <c r="I128" s="4">
        <v>4.4800000000000004</v>
      </c>
      <c r="J128" s="4">
        <v>0.44</v>
      </c>
    </row>
    <row r="129" spans="1:10" x14ac:dyDescent="0.3">
      <c r="A129" s="4" t="s">
        <v>3</v>
      </c>
      <c r="B129" s="4">
        <v>7.14</v>
      </c>
      <c r="C129" s="4">
        <v>7.33</v>
      </c>
      <c r="D129" s="4">
        <v>7.61</v>
      </c>
      <c r="E129" s="13"/>
      <c r="F129" s="13"/>
      <c r="G129" s="4">
        <f t="shared" ref="G129:G133" si="25">ROUND(AVERAGE(B129:F129),2)</f>
        <v>7.36</v>
      </c>
      <c r="H129" s="4">
        <v>5827.28</v>
      </c>
      <c r="I129" s="4">
        <v>75.959999999999994</v>
      </c>
      <c r="J129" s="4">
        <v>-82.31</v>
      </c>
    </row>
    <row r="130" spans="1:10" x14ac:dyDescent="0.3">
      <c r="A130" s="4" t="s">
        <v>1</v>
      </c>
      <c r="B130" s="4">
        <v>31.54</v>
      </c>
      <c r="C130" s="4">
        <v>37.04</v>
      </c>
      <c r="D130" s="4">
        <v>31.26</v>
      </c>
      <c r="E130" s="4">
        <v>31.69</v>
      </c>
      <c r="F130" s="4">
        <v>33.18</v>
      </c>
      <c r="G130" s="4">
        <f t="shared" si="25"/>
        <v>32.94</v>
      </c>
      <c r="H130" s="4">
        <v>32.159999999999997</v>
      </c>
      <c r="I130" s="4">
        <v>3.74</v>
      </c>
      <c r="J130" s="4">
        <v>0.54</v>
      </c>
    </row>
    <row r="131" spans="1:10" x14ac:dyDescent="0.3">
      <c r="A131" s="4" t="s">
        <v>4</v>
      </c>
      <c r="B131" s="4">
        <v>11.98</v>
      </c>
      <c r="C131" s="4">
        <v>10.95</v>
      </c>
      <c r="D131" s="4">
        <v>11.66</v>
      </c>
      <c r="E131" s="4">
        <v>11.77</v>
      </c>
      <c r="F131" s="4">
        <v>13.14</v>
      </c>
      <c r="G131" s="4">
        <f t="shared" si="25"/>
        <v>11.9</v>
      </c>
      <c r="H131" s="4">
        <v>10.48</v>
      </c>
      <c r="I131" s="4">
        <v>1.84</v>
      </c>
      <c r="J131" s="4">
        <v>0.85</v>
      </c>
    </row>
    <row r="132" spans="1:10" x14ac:dyDescent="0.3">
      <c r="A132" s="4" t="s">
        <v>0</v>
      </c>
      <c r="B132" s="4">
        <v>29.28</v>
      </c>
      <c r="C132" s="4">
        <v>30.09</v>
      </c>
      <c r="D132" s="4">
        <v>29.54</v>
      </c>
      <c r="E132" s="4">
        <v>28.75</v>
      </c>
      <c r="F132" s="4">
        <v>32.75</v>
      </c>
      <c r="G132" s="4">
        <f t="shared" si="25"/>
        <v>30.08</v>
      </c>
      <c r="H132" s="4">
        <v>27.83</v>
      </c>
      <c r="I132" s="4">
        <v>3.66</v>
      </c>
      <c r="J132" s="4">
        <v>0.6</v>
      </c>
    </row>
    <row r="133" spans="1:10" x14ac:dyDescent="0.3">
      <c r="A133" s="10" t="s">
        <v>5</v>
      </c>
      <c r="B133" s="4">
        <v>23.24</v>
      </c>
      <c r="C133" s="4">
        <v>24.17</v>
      </c>
      <c r="D133" s="4">
        <v>23.77</v>
      </c>
      <c r="E133" s="4">
        <v>23.93</v>
      </c>
      <c r="F133" s="4">
        <v>26.96</v>
      </c>
      <c r="G133" s="4">
        <f t="shared" si="25"/>
        <v>24.41</v>
      </c>
      <c r="H133" s="4">
        <v>23.62</v>
      </c>
      <c r="I133" s="4">
        <v>2.9</v>
      </c>
      <c r="J133" s="4">
        <v>0.66</v>
      </c>
    </row>
    <row r="134" spans="1:10" x14ac:dyDescent="0.3">
      <c r="A134" s="12"/>
      <c r="B134" s="11"/>
      <c r="C134" s="11"/>
      <c r="D134" s="11"/>
      <c r="E134" s="11"/>
      <c r="F134" s="11"/>
      <c r="G134" s="4">
        <f>ROUND(AVERAGE(G128,G130:G133),2)</f>
        <v>28.07</v>
      </c>
      <c r="H134" s="4">
        <f t="shared" ref="H134" si="26">ROUND(AVERAGE(H128,H130:H133),2)</f>
        <v>26.72</v>
      </c>
      <c r="I134" s="4">
        <f t="shared" ref="I134" si="27">ROUND(AVERAGE(I128,I130:I133),2)</f>
        <v>3.32</v>
      </c>
      <c r="J134" s="4">
        <f t="shared" ref="J134" si="28">ROUND(AVERAGE(J128,J130:J133),2)</f>
        <v>0.62</v>
      </c>
    </row>
    <row r="135" spans="1:10" x14ac:dyDescent="0.3">
      <c r="A135" s="12"/>
      <c r="B135" s="11"/>
      <c r="C135" s="11"/>
      <c r="D135" s="11"/>
      <c r="E135" s="11"/>
      <c r="F135" s="11"/>
      <c r="G135" s="11"/>
      <c r="H135" s="11"/>
      <c r="I135" s="11"/>
      <c r="J135" s="11"/>
    </row>
    <row r="137" spans="1:10" x14ac:dyDescent="0.3">
      <c r="A137" s="4" t="s">
        <v>25</v>
      </c>
      <c r="B137" s="6" t="s">
        <v>15</v>
      </c>
      <c r="C137" s="6"/>
      <c r="D137" s="6"/>
      <c r="E137" s="6"/>
      <c r="F137" s="6"/>
      <c r="G137" s="6"/>
      <c r="H137" s="4"/>
      <c r="I137" s="4"/>
      <c r="J137" s="4"/>
    </row>
    <row r="138" spans="1:10" x14ac:dyDescent="0.3">
      <c r="A138" s="4"/>
      <c r="B138" s="4" t="s">
        <v>16</v>
      </c>
      <c r="C138" s="4" t="s">
        <v>17</v>
      </c>
      <c r="D138" s="4" t="s">
        <v>18</v>
      </c>
      <c r="E138" s="4" t="s">
        <v>19</v>
      </c>
      <c r="F138" s="4" t="s">
        <v>20</v>
      </c>
      <c r="G138" s="4" t="s">
        <v>21</v>
      </c>
      <c r="H138" s="4" t="s">
        <v>22</v>
      </c>
      <c r="I138" s="4" t="s">
        <v>23</v>
      </c>
      <c r="J138" s="4" t="s">
        <v>24</v>
      </c>
    </row>
    <row r="139" spans="1:10" x14ac:dyDescent="0.3">
      <c r="A139" s="4" t="s">
        <v>2</v>
      </c>
      <c r="B139" s="4">
        <v>46.88</v>
      </c>
      <c r="C139" s="4">
        <v>48.78</v>
      </c>
      <c r="D139" s="4">
        <v>49.48</v>
      </c>
      <c r="E139" s="4">
        <v>43.41</v>
      </c>
      <c r="F139" s="4">
        <v>47.53</v>
      </c>
      <c r="G139" s="4">
        <f>ROUND(AVERAGE(B139:F139),2)</f>
        <v>47.22</v>
      </c>
      <c r="H139" s="4">
        <v>45.04</v>
      </c>
      <c r="I139" s="4">
        <v>4.62</v>
      </c>
      <c r="J139" s="4">
        <v>0.48</v>
      </c>
    </row>
    <row r="140" spans="1:10" x14ac:dyDescent="0.3">
      <c r="A140" s="4" t="s">
        <v>3</v>
      </c>
      <c r="B140" s="4">
        <v>7.48</v>
      </c>
      <c r="C140" s="4">
        <v>8.14</v>
      </c>
      <c r="D140" s="4">
        <v>7.87</v>
      </c>
      <c r="E140" s="4">
        <v>7.79</v>
      </c>
      <c r="F140" s="4">
        <v>8.98</v>
      </c>
      <c r="G140" s="4">
        <f t="shared" ref="G140:G144" si="29">ROUND(AVERAGE(B140:F140),2)</f>
        <v>8.0500000000000007</v>
      </c>
      <c r="H140" s="4">
        <v>5725.73</v>
      </c>
      <c r="I140" s="4">
        <v>75.19</v>
      </c>
      <c r="J140" s="4">
        <v>-65.64</v>
      </c>
    </row>
    <row r="141" spans="1:10" x14ac:dyDescent="0.3">
      <c r="A141" s="4" t="s">
        <v>1</v>
      </c>
      <c r="B141" s="4">
        <v>32.61</v>
      </c>
      <c r="C141" s="4">
        <v>35.26</v>
      </c>
      <c r="D141" s="4">
        <v>34.29</v>
      </c>
      <c r="E141" s="4">
        <v>30.34</v>
      </c>
      <c r="F141" s="4">
        <v>35.1</v>
      </c>
      <c r="G141" s="4">
        <f t="shared" si="29"/>
        <v>33.520000000000003</v>
      </c>
      <c r="H141" s="4">
        <v>31.46</v>
      </c>
      <c r="I141" s="4">
        <v>3.96</v>
      </c>
      <c r="J141" s="4">
        <v>0.63</v>
      </c>
    </row>
    <row r="142" spans="1:10" x14ac:dyDescent="0.3">
      <c r="A142" s="4" t="s">
        <v>4</v>
      </c>
      <c r="B142" s="4">
        <v>14.38</v>
      </c>
      <c r="C142" s="4">
        <v>16.84</v>
      </c>
      <c r="D142" s="4">
        <v>15.86</v>
      </c>
      <c r="E142" s="4">
        <v>15.82</v>
      </c>
      <c r="F142" s="4">
        <v>13.63</v>
      </c>
      <c r="G142" s="4">
        <f t="shared" si="29"/>
        <v>15.31</v>
      </c>
      <c r="H142" s="4">
        <v>13.61</v>
      </c>
      <c r="I142" s="4">
        <v>2.09</v>
      </c>
      <c r="J142" s="4">
        <v>0.84</v>
      </c>
    </row>
    <row r="143" spans="1:10" x14ac:dyDescent="0.3">
      <c r="A143" s="4" t="s">
        <v>0</v>
      </c>
      <c r="B143" s="4">
        <v>31.03</v>
      </c>
      <c r="C143" s="4">
        <v>27.94</v>
      </c>
      <c r="D143" s="4">
        <v>29.68</v>
      </c>
      <c r="E143" s="4">
        <v>29.87</v>
      </c>
      <c r="F143" s="4">
        <v>33.880000000000003</v>
      </c>
      <c r="G143" s="4">
        <f t="shared" si="29"/>
        <v>30.48</v>
      </c>
      <c r="H143" s="4">
        <v>25.37</v>
      </c>
      <c r="I143" s="4">
        <v>3.55</v>
      </c>
      <c r="J143" s="4">
        <v>0.7</v>
      </c>
    </row>
    <row r="144" spans="1:10" x14ac:dyDescent="0.3">
      <c r="A144" s="10" t="s">
        <v>5</v>
      </c>
      <c r="B144" s="4">
        <v>16.309999999999999</v>
      </c>
      <c r="C144" s="4">
        <v>16.87</v>
      </c>
      <c r="D144" s="4">
        <v>19.489999999999998</v>
      </c>
      <c r="E144" s="4">
        <v>15.13</v>
      </c>
      <c r="F144" s="4">
        <v>18.3</v>
      </c>
      <c r="G144" s="4">
        <f t="shared" si="29"/>
        <v>17.22</v>
      </c>
      <c r="H144" s="4">
        <v>15.1</v>
      </c>
      <c r="I144" s="4">
        <v>2.06</v>
      </c>
      <c r="J144" s="4">
        <v>0.82</v>
      </c>
    </row>
    <row r="145" spans="7:10" x14ac:dyDescent="0.3">
      <c r="G145" s="4">
        <f>ROUND(AVERAGE(G139,G141:G144),2)</f>
        <v>28.75</v>
      </c>
      <c r="H145" s="4">
        <f t="shared" ref="H145" si="30">ROUND(AVERAGE(H139,H141:H144),2)</f>
        <v>26.12</v>
      </c>
      <c r="I145" s="4">
        <f t="shared" ref="I145" si="31">ROUND(AVERAGE(I139,I141:I144),2)</f>
        <v>3.26</v>
      </c>
      <c r="J145" s="4">
        <f t="shared" ref="J145" si="32">ROUND(AVERAGE(J139,J141:J144),2)</f>
        <v>0.69</v>
      </c>
    </row>
  </sheetData>
  <mergeCells count="20">
    <mergeCell ref="B104:G104"/>
    <mergeCell ref="B115:G115"/>
    <mergeCell ref="B126:G126"/>
    <mergeCell ref="B137:G137"/>
    <mergeCell ref="A2:M2"/>
    <mergeCell ref="A23:J23"/>
    <mergeCell ref="A91:J91"/>
    <mergeCell ref="B93:G93"/>
    <mergeCell ref="L4:M4"/>
    <mergeCell ref="B4:C4"/>
    <mergeCell ref="D4:E4"/>
    <mergeCell ref="F4:G4"/>
    <mergeCell ref="H4:I4"/>
    <mergeCell ref="J4:K4"/>
    <mergeCell ref="B69:G69"/>
    <mergeCell ref="B80:G80"/>
    <mergeCell ref="B25:G25"/>
    <mergeCell ref="B36:G36"/>
    <mergeCell ref="B47:G47"/>
    <mergeCell ref="B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JULIA, MARGUERITE C.M. (Student)</cp:lastModifiedBy>
  <cp:revision/>
  <dcterms:created xsi:type="dcterms:W3CDTF">2024-04-22T21:55:01Z</dcterms:created>
  <dcterms:modified xsi:type="dcterms:W3CDTF">2024-04-25T03:26:18Z</dcterms:modified>
  <cp:category/>
  <cp:contentStatus/>
</cp:coreProperties>
</file>